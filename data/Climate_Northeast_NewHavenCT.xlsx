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manueleagle/Desktop/Research/Climate Tables/"/>
    </mc:Choice>
  </mc:AlternateContent>
  <xr:revisionPtr revIDLastSave="0" documentId="13_ncr:1_{9702A1D3-25EA-6B41-BDCC-9A554FE92605}" xr6:coauthVersionLast="36" xr6:coauthVersionMax="36" xr10:uidLastSave="{00000000-0000-0000-0000-000000000000}"/>
  <bookViews>
    <workbookView xWindow="0" yWindow="460" windowWidth="28800" windowHeight="15720" xr2:uid="{00000000-000D-0000-FFFF-FFFF00000000}"/>
  </bookViews>
  <sheets>
    <sheet name="January" sheetId="1" r:id="rId1"/>
    <sheet name="April" sheetId="3" r:id="rId2"/>
    <sheet name="July" sheetId="2" r:id="rId3"/>
    <sheet name="October" sheetId="4" r:id="rId4"/>
    <sheet name="Notes" sheetId="5" r:id="rId5"/>
    <sheet name="Jan vs. Overall" sheetId="6" r:id="rId6"/>
    <sheet name="April vs. Overall" sheetId="7" r:id="rId7"/>
    <sheet name="July vs. Overall" sheetId="8" r:id="rId8"/>
    <sheet name="Oct vs. Overall" sheetId="9" r:id="rId9"/>
  </sheets>
  <calcPr calcId="181029"/>
</workbook>
</file>

<file path=xl/calcChain.xml><?xml version="1.0" encoding="utf-8"?>
<calcChain xmlns="http://schemas.openxmlformats.org/spreadsheetml/2006/main">
  <c r="H78" i="4" l="1"/>
  <c r="F78" i="4"/>
  <c r="H78" i="2"/>
  <c r="F78" i="2"/>
  <c r="H78" i="3"/>
  <c r="F78" i="3"/>
  <c r="H78" i="1"/>
  <c r="F78" i="1"/>
  <c r="G78" i="4" l="1"/>
  <c r="G78" i="2"/>
  <c r="G78" i="3"/>
  <c r="G78" i="1"/>
  <c r="G44" i="1" l="1"/>
  <c r="L69" i="4" l="1"/>
  <c r="K69" i="4"/>
  <c r="J69" i="4"/>
  <c r="L69" i="2"/>
  <c r="K69" i="2"/>
  <c r="J69" i="2"/>
  <c r="L69" i="3"/>
  <c r="K69" i="3"/>
  <c r="J69" i="3"/>
  <c r="L69" i="1"/>
  <c r="K69" i="1"/>
  <c r="J69" i="1"/>
  <c r="L29" i="4"/>
  <c r="K29" i="4"/>
  <c r="J29" i="4"/>
  <c r="L29" i="2"/>
  <c r="K29" i="2"/>
  <c r="J29" i="2"/>
  <c r="L29" i="3"/>
  <c r="K29" i="3"/>
  <c r="J29" i="3"/>
  <c r="L29" i="1"/>
  <c r="K29" i="1"/>
  <c r="J29" i="1"/>
  <c r="L9" i="1"/>
  <c r="K9" i="1"/>
  <c r="J9" i="1"/>
  <c r="L9" i="3"/>
  <c r="K9" i="3"/>
  <c r="J9" i="3"/>
  <c r="L9" i="2"/>
  <c r="K9" i="2"/>
  <c r="J9" i="2"/>
  <c r="L9" i="4"/>
  <c r="K9" i="4"/>
  <c r="J9" i="4"/>
  <c r="R85" i="4"/>
  <c r="Q85" i="4"/>
  <c r="P85" i="4"/>
  <c r="H85" i="4"/>
  <c r="G85" i="4"/>
  <c r="F85" i="4"/>
  <c r="R84" i="4"/>
  <c r="Q84" i="4"/>
  <c r="P84" i="4"/>
  <c r="H84" i="4"/>
  <c r="G84" i="4"/>
  <c r="F84" i="4"/>
  <c r="R83" i="4"/>
  <c r="Q83" i="4"/>
  <c r="P83" i="4"/>
  <c r="H83" i="4"/>
  <c r="G83" i="4"/>
  <c r="F83" i="4"/>
  <c r="R85" i="2"/>
  <c r="Q85" i="2"/>
  <c r="P85" i="2"/>
  <c r="H85" i="2"/>
  <c r="G85" i="2"/>
  <c r="F85" i="2"/>
  <c r="R84" i="2"/>
  <c r="Q84" i="2"/>
  <c r="P84" i="2"/>
  <c r="H84" i="2"/>
  <c r="G84" i="2"/>
  <c r="F84" i="2"/>
  <c r="R83" i="2"/>
  <c r="Q83" i="2"/>
  <c r="P83" i="2"/>
  <c r="H83" i="2"/>
  <c r="G83" i="2"/>
  <c r="F83" i="2"/>
  <c r="R85" i="3"/>
  <c r="Q85" i="3"/>
  <c r="P85" i="3"/>
  <c r="H85" i="3"/>
  <c r="G85" i="3"/>
  <c r="F85" i="3"/>
  <c r="R84" i="3"/>
  <c r="Q84" i="3"/>
  <c r="P84" i="3"/>
  <c r="H84" i="3"/>
  <c r="G84" i="3"/>
  <c r="F84" i="3"/>
  <c r="R83" i="3"/>
  <c r="Q83" i="3"/>
  <c r="P83" i="3"/>
  <c r="H83" i="3"/>
  <c r="G83" i="3"/>
  <c r="F83" i="3"/>
  <c r="R85" i="1"/>
  <c r="Q85" i="1"/>
  <c r="R84" i="1"/>
  <c r="Q84" i="1"/>
  <c r="P85" i="1"/>
  <c r="P84" i="1"/>
  <c r="H85" i="1"/>
  <c r="G85" i="1"/>
  <c r="F85" i="1"/>
  <c r="H84" i="1"/>
  <c r="G84" i="1"/>
  <c r="F84" i="1"/>
  <c r="R83" i="1"/>
  <c r="Q83" i="1"/>
  <c r="P83" i="1"/>
  <c r="H83" i="1"/>
  <c r="G83" i="1"/>
  <c r="F83" i="1"/>
  <c r="L59" i="4"/>
  <c r="K59" i="4"/>
  <c r="J59" i="4"/>
  <c r="L49" i="4"/>
  <c r="K49" i="4"/>
  <c r="J49" i="4"/>
  <c r="L39" i="4"/>
  <c r="K39" i="4"/>
  <c r="J39" i="4"/>
  <c r="L19" i="4"/>
  <c r="K19" i="4"/>
  <c r="J19" i="4"/>
  <c r="L59" i="2"/>
  <c r="K59" i="2"/>
  <c r="J59" i="2"/>
  <c r="L49" i="2"/>
  <c r="K49" i="2"/>
  <c r="J49" i="2"/>
  <c r="L39" i="2"/>
  <c r="K39" i="2"/>
  <c r="J39" i="2"/>
  <c r="L19" i="2"/>
  <c r="K19" i="2"/>
  <c r="J19" i="2"/>
  <c r="L59" i="3"/>
  <c r="K59" i="3"/>
  <c r="J59" i="3"/>
  <c r="L49" i="3"/>
  <c r="K49" i="3"/>
  <c r="J49" i="3"/>
  <c r="L39" i="3"/>
  <c r="K39" i="3"/>
  <c r="J39" i="3"/>
  <c r="L19" i="3"/>
  <c r="K19" i="3"/>
  <c r="J19" i="3"/>
  <c r="L59" i="1"/>
  <c r="K59" i="1"/>
  <c r="J59" i="1"/>
  <c r="L49" i="1"/>
  <c r="K49" i="1"/>
  <c r="J49" i="1"/>
  <c r="L39" i="1"/>
  <c r="K39" i="1"/>
  <c r="J39" i="1"/>
  <c r="L19" i="1"/>
  <c r="K19" i="1"/>
  <c r="J19" i="1"/>
</calcChain>
</file>

<file path=xl/sharedStrings.xml><?xml version="1.0" encoding="utf-8"?>
<sst xmlns="http://schemas.openxmlformats.org/spreadsheetml/2006/main" count="174" uniqueCount="36">
  <si>
    <t>Site:</t>
  </si>
  <si>
    <t>Decade</t>
  </si>
  <si>
    <t>Time Period</t>
  </si>
  <si>
    <t>Year</t>
  </si>
  <si>
    <t>Max</t>
  </si>
  <si>
    <t>Mean</t>
  </si>
  <si>
    <t>Avg</t>
  </si>
  <si>
    <t>Min</t>
  </si>
  <si>
    <t>Temperature</t>
  </si>
  <si>
    <t>Decadal</t>
  </si>
  <si>
    <t>DO NOT WRITE IN THESE COLUMNS</t>
  </si>
  <si>
    <t>Web address:</t>
  </si>
  <si>
    <t>No. days</t>
  </si>
  <si>
    <t>&lt; or = O ºC</t>
  </si>
  <si>
    <t>Month:</t>
  </si>
  <si>
    <t>January</t>
  </si>
  <si>
    <t>Precipitation</t>
  </si>
  <si>
    <t>Monthly</t>
  </si>
  <si>
    <t>of precipitation</t>
  </si>
  <si>
    <t>No. events</t>
  </si>
  <si>
    <t>April</t>
  </si>
  <si>
    <t>July</t>
  </si>
  <si>
    <t>October</t>
  </si>
  <si>
    <t>No. days daily mean is below</t>
  </si>
  <si>
    <t>Totals</t>
  </si>
  <si>
    <t>No. Years</t>
  </si>
  <si>
    <t>Stan Dev</t>
  </si>
  <si>
    <t>Total (mm)</t>
  </si>
  <si>
    <t>&gt; or = 75 mm</t>
  </si>
  <si>
    <t>1977**</t>
  </si>
  <si>
    <t>1980**</t>
  </si>
  <si>
    <t>1983**</t>
  </si>
  <si>
    <t>&gt; or =  19 ºC</t>
  </si>
  <si>
    <t>&gt; or = 29 ºC</t>
  </si>
  <si>
    <t>&gt; or = 21 ºC</t>
  </si>
  <si>
    <t>1979**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</si>
</sst>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January!$G$9:$G$29</c:f>
              <c:numCache>
                <c:formatCode>General</c:formatCode>
                <c:ptCount val="21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-2</c:v>
                </c:pt>
                <c:pt idx="5">
                  <c:v>0</c:v>
                </c:pt>
                <c:pt idx="6">
                  <c:v>0</c:v>
                </c:pt>
                <c:pt idx="7">
                  <c:v>-2</c:v>
                </c:pt>
                <c:pt idx="8">
                  <c:v>0</c:v>
                </c:pt>
                <c:pt idx="9">
                  <c:v>-1</c:v>
                </c:pt>
                <c:pt idx="10">
                  <c:v>0</c:v>
                </c:pt>
                <c:pt idx="11">
                  <c:v>-3</c:v>
                </c:pt>
                <c:pt idx="12">
                  <c:v>0</c:v>
                </c:pt>
                <c:pt idx="13">
                  <c:v>-2</c:v>
                </c:pt>
                <c:pt idx="14">
                  <c:v>1</c:v>
                </c:pt>
                <c:pt idx="15">
                  <c:v>-3</c:v>
                </c:pt>
                <c:pt idx="16">
                  <c:v>-1</c:v>
                </c:pt>
                <c:pt idx="17">
                  <c:v>2</c:v>
                </c:pt>
                <c:pt idx="18">
                  <c:v>-4</c:v>
                </c:pt>
                <c:pt idx="19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CB-6C47-8437-0FCD830AF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3196544"/>
        <c:axId val="693198224"/>
      </c:lineChart>
      <c:catAx>
        <c:axId val="693196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98224"/>
        <c:crosses val="autoZero"/>
        <c:auto val="1"/>
        <c:lblAlgn val="ctr"/>
        <c:lblOffset val="100"/>
        <c:noMultiLvlLbl val="0"/>
      </c:catAx>
      <c:valAx>
        <c:axId val="6931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9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85725</xdr:rowOff>
    </xdr:from>
    <xdr:to>
      <xdr:col>9</xdr:col>
      <xdr:colOff>323850</xdr:colOff>
      <xdr:row>3</xdr:row>
      <xdr:rowOff>142875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6048375" y="276225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2</xdr:row>
      <xdr:rowOff>95250</xdr:rowOff>
    </xdr:from>
    <xdr:to>
      <xdr:col>10</xdr:col>
      <xdr:colOff>295275</xdr:colOff>
      <xdr:row>3</xdr:row>
      <xdr:rowOff>152400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6629400" y="2857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2</xdr:row>
      <xdr:rowOff>95250</xdr:rowOff>
    </xdr:from>
    <xdr:to>
      <xdr:col>11</xdr:col>
      <xdr:colOff>295275</xdr:colOff>
      <xdr:row>3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7239000" y="2857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450850</xdr:colOff>
      <xdr:row>9</xdr:row>
      <xdr:rowOff>120650</xdr:rowOff>
    </xdr:from>
    <xdr:to>
      <xdr:col>22</xdr:col>
      <xdr:colOff>215900</xdr:colOff>
      <xdr:row>28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FD2B55-E3F9-B145-BB34-5DD029E8B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85725</xdr:rowOff>
    </xdr:from>
    <xdr:to>
      <xdr:col>9</xdr:col>
      <xdr:colOff>323850</xdr:colOff>
      <xdr:row>3</xdr:row>
      <xdr:rowOff>142875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762750" y="466725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2</xdr:row>
      <xdr:rowOff>95250</xdr:rowOff>
    </xdr:from>
    <xdr:to>
      <xdr:col>10</xdr:col>
      <xdr:colOff>295275</xdr:colOff>
      <xdr:row>3</xdr:row>
      <xdr:rowOff>152400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74485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2</xdr:row>
      <xdr:rowOff>95250</xdr:rowOff>
    </xdr:from>
    <xdr:to>
      <xdr:col>11</xdr:col>
      <xdr:colOff>295275</xdr:colOff>
      <xdr:row>3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80581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85725</xdr:rowOff>
    </xdr:from>
    <xdr:to>
      <xdr:col>9</xdr:col>
      <xdr:colOff>323850</xdr:colOff>
      <xdr:row>3</xdr:row>
      <xdr:rowOff>142875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>
          <a:off x="6762750" y="466725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2</xdr:row>
      <xdr:rowOff>95250</xdr:rowOff>
    </xdr:from>
    <xdr:to>
      <xdr:col>10</xdr:col>
      <xdr:colOff>295275</xdr:colOff>
      <xdr:row>3</xdr:row>
      <xdr:rowOff>152400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74485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2</xdr:row>
      <xdr:rowOff>95250</xdr:rowOff>
    </xdr:from>
    <xdr:to>
      <xdr:col>11</xdr:col>
      <xdr:colOff>295275</xdr:colOff>
      <xdr:row>3</xdr:row>
      <xdr:rowOff>152400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80581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85725</xdr:rowOff>
    </xdr:from>
    <xdr:to>
      <xdr:col>9</xdr:col>
      <xdr:colOff>323850</xdr:colOff>
      <xdr:row>3</xdr:row>
      <xdr:rowOff>142875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6762750" y="466725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2</xdr:row>
      <xdr:rowOff>95250</xdr:rowOff>
    </xdr:from>
    <xdr:to>
      <xdr:col>10</xdr:col>
      <xdr:colOff>295275</xdr:colOff>
      <xdr:row>3</xdr:row>
      <xdr:rowOff>152400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74485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2</xdr:row>
      <xdr:rowOff>95250</xdr:rowOff>
    </xdr:from>
    <xdr:to>
      <xdr:col>11</xdr:col>
      <xdr:colOff>295275</xdr:colOff>
      <xdr:row>3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80581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"/>
  <sheetViews>
    <sheetView tabSelected="1" topLeftCell="H3" workbookViewId="0">
      <selection activeCell="G9" sqref="G9:G29"/>
    </sheetView>
  </sheetViews>
  <sheetFormatPr baseColWidth="10" defaultColWidth="8.83203125" defaultRowHeight="15" x14ac:dyDescent="0.2"/>
  <cols>
    <col min="1" max="1" width="14.5" customWidth="1"/>
    <col min="9" max="9" width="29" customWidth="1"/>
    <col min="10" max="10" width="10.6640625" customWidth="1"/>
    <col min="15" max="15" width="6" customWidth="1"/>
    <col min="16" max="16" width="10.5" customWidth="1"/>
    <col min="17" max="17" width="17.5" customWidth="1"/>
    <col min="18" max="18" width="13.5" customWidth="1"/>
  </cols>
  <sheetData>
    <row r="1" spans="1:18" x14ac:dyDescent="0.2">
      <c r="A1" t="s">
        <v>0</v>
      </c>
      <c r="E1" t="s">
        <v>14</v>
      </c>
      <c r="F1" t="s">
        <v>15</v>
      </c>
      <c r="J1" t="s">
        <v>10</v>
      </c>
    </row>
    <row r="2" spans="1:18" x14ac:dyDescent="0.2">
      <c r="A2" t="s">
        <v>11</v>
      </c>
    </row>
    <row r="4" spans="1:18" x14ac:dyDescent="0.2">
      <c r="C4" s="4" t="s">
        <v>2</v>
      </c>
      <c r="G4" s="4" t="s">
        <v>8</v>
      </c>
      <c r="Q4" s="4" t="s">
        <v>16</v>
      </c>
    </row>
    <row r="5" spans="1:18" x14ac:dyDescent="0.2">
      <c r="J5" t="s">
        <v>9</v>
      </c>
      <c r="K5" t="s">
        <v>9</v>
      </c>
      <c r="L5" t="s">
        <v>9</v>
      </c>
    </row>
    <row r="6" spans="1:18" x14ac:dyDescent="0.2">
      <c r="F6" s="1" t="s">
        <v>5</v>
      </c>
      <c r="G6" s="1" t="s">
        <v>5</v>
      </c>
      <c r="H6" s="1" t="s">
        <v>5</v>
      </c>
      <c r="I6" t="s">
        <v>23</v>
      </c>
      <c r="J6" s="1" t="s">
        <v>5</v>
      </c>
      <c r="K6" s="1" t="s">
        <v>5</v>
      </c>
      <c r="L6" s="1" t="s">
        <v>5</v>
      </c>
      <c r="M6" s="2"/>
      <c r="P6" s="2" t="s">
        <v>17</v>
      </c>
      <c r="Q6" s="2" t="s">
        <v>12</v>
      </c>
      <c r="R6" s="2" t="s">
        <v>19</v>
      </c>
    </row>
    <row r="7" spans="1:18" x14ac:dyDescent="0.2">
      <c r="C7" t="s">
        <v>1</v>
      </c>
      <c r="D7" t="s">
        <v>3</v>
      </c>
      <c r="F7" s="1" t="s">
        <v>4</v>
      </c>
      <c r="G7" s="1" t="s">
        <v>6</v>
      </c>
      <c r="H7" s="1" t="s">
        <v>7</v>
      </c>
      <c r="I7" s="2" t="s">
        <v>13</v>
      </c>
      <c r="J7" s="1" t="s">
        <v>4</v>
      </c>
      <c r="K7" s="1" t="s">
        <v>6</v>
      </c>
      <c r="L7" s="1" t="s">
        <v>7</v>
      </c>
      <c r="M7" s="2"/>
      <c r="N7" t="s">
        <v>3</v>
      </c>
      <c r="P7" s="2" t="s">
        <v>27</v>
      </c>
      <c r="Q7" s="2" t="s">
        <v>18</v>
      </c>
      <c r="R7" s="2" t="s">
        <v>28</v>
      </c>
    </row>
    <row r="8" spans="1:18" s="5" customFormat="1" x14ac:dyDescent="0.2"/>
    <row r="9" spans="1:18" x14ac:dyDescent="0.2">
      <c r="C9">
        <v>1950</v>
      </c>
      <c r="D9">
        <v>1950</v>
      </c>
      <c r="F9">
        <v>10</v>
      </c>
      <c r="G9">
        <v>3</v>
      </c>
      <c r="H9">
        <v>-10</v>
      </c>
      <c r="I9">
        <v>7</v>
      </c>
      <c r="J9">
        <f>SUM(F9:F18)/10</f>
        <v>8.1999999999999993</v>
      </c>
      <c r="K9">
        <f>SUM(G9:G18)/10</f>
        <v>0.3</v>
      </c>
      <c r="L9">
        <f>SUM(H9:H18)/10</f>
        <v>-9.4</v>
      </c>
      <c r="N9">
        <v>1950</v>
      </c>
    </row>
    <row r="10" spans="1:18" x14ac:dyDescent="0.2">
      <c r="D10">
        <v>1951</v>
      </c>
      <c r="F10">
        <v>9</v>
      </c>
      <c r="G10">
        <v>1</v>
      </c>
      <c r="H10">
        <v>-9</v>
      </c>
      <c r="I10">
        <v>14</v>
      </c>
      <c r="N10">
        <v>1951</v>
      </c>
    </row>
    <row r="11" spans="1:18" x14ac:dyDescent="0.2">
      <c r="D11">
        <v>1952</v>
      </c>
      <c r="F11">
        <v>9</v>
      </c>
      <c r="G11">
        <v>2</v>
      </c>
      <c r="H11">
        <v>-10</v>
      </c>
      <c r="I11">
        <v>13</v>
      </c>
      <c r="N11">
        <v>1952</v>
      </c>
    </row>
    <row r="12" spans="1:18" x14ac:dyDescent="0.2">
      <c r="D12">
        <v>1953</v>
      </c>
      <c r="F12">
        <v>11</v>
      </c>
      <c r="G12">
        <v>2</v>
      </c>
      <c r="H12">
        <v>-4</v>
      </c>
      <c r="I12">
        <v>8</v>
      </c>
      <c r="N12">
        <v>1953</v>
      </c>
    </row>
    <row r="13" spans="1:18" x14ac:dyDescent="0.2">
      <c r="D13">
        <v>1954</v>
      </c>
      <c r="F13">
        <v>6</v>
      </c>
      <c r="G13">
        <v>-2</v>
      </c>
      <c r="H13">
        <v>-11</v>
      </c>
      <c r="I13">
        <v>19</v>
      </c>
      <c r="N13">
        <v>1954</v>
      </c>
    </row>
    <row r="14" spans="1:18" x14ac:dyDescent="0.2">
      <c r="D14">
        <v>1955</v>
      </c>
      <c r="F14">
        <v>7</v>
      </c>
      <c r="G14">
        <v>0</v>
      </c>
      <c r="H14">
        <v>-7</v>
      </c>
      <c r="I14">
        <v>20</v>
      </c>
      <c r="N14">
        <v>1955</v>
      </c>
    </row>
    <row r="15" spans="1:18" x14ac:dyDescent="0.2">
      <c r="D15">
        <v>1956</v>
      </c>
      <c r="F15">
        <v>8</v>
      </c>
      <c r="G15">
        <v>0</v>
      </c>
      <c r="H15">
        <v>-7</v>
      </c>
      <c r="I15">
        <v>19</v>
      </c>
      <c r="N15">
        <v>1956</v>
      </c>
    </row>
    <row r="16" spans="1:18" x14ac:dyDescent="0.2">
      <c r="D16">
        <v>1957</v>
      </c>
      <c r="F16">
        <v>7</v>
      </c>
      <c r="G16">
        <v>-2</v>
      </c>
      <c r="H16">
        <v>-18</v>
      </c>
      <c r="I16">
        <v>22</v>
      </c>
      <c r="N16">
        <v>1957</v>
      </c>
    </row>
    <row r="17" spans="3:14" x14ac:dyDescent="0.2">
      <c r="D17">
        <v>1958</v>
      </c>
      <c r="F17">
        <v>7</v>
      </c>
      <c r="G17">
        <v>0</v>
      </c>
      <c r="H17">
        <v>-10</v>
      </c>
      <c r="I17">
        <v>16</v>
      </c>
      <c r="N17">
        <v>1958</v>
      </c>
    </row>
    <row r="18" spans="3:14" x14ac:dyDescent="0.2">
      <c r="D18">
        <v>1959</v>
      </c>
      <c r="F18">
        <v>8</v>
      </c>
      <c r="G18">
        <v>-1</v>
      </c>
      <c r="H18">
        <v>-8</v>
      </c>
      <c r="I18">
        <v>19</v>
      </c>
      <c r="N18">
        <v>1959</v>
      </c>
    </row>
    <row r="19" spans="3:14" x14ac:dyDescent="0.2">
      <c r="C19">
        <v>1960</v>
      </c>
      <c r="D19">
        <v>1960</v>
      </c>
      <c r="F19">
        <v>9</v>
      </c>
      <c r="G19">
        <v>0</v>
      </c>
      <c r="H19">
        <v>-7</v>
      </c>
      <c r="I19">
        <v>17</v>
      </c>
      <c r="J19">
        <f>SUM(F19:F28)/10</f>
        <v>7.7</v>
      </c>
      <c r="K19">
        <f>SUM(G19:G28)/10</f>
        <v>-1.2</v>
      </c>
      <c r="L19">
        <f>SUM(H19:H28)/10</f>
        <v>-10.9</v>
      </c>
      <c r="N19">
        <v>1960</v>
      </c>
    </row>
    <row r="20" spans="3:14" x14ac:dyDescent="0.2">
      <c r="D20">
        <v>1961</v>
      </c>
      <c r="F20">
        <v>6</v>
      </c>
      <c r="G20">
        <v>-3</v>
      </c>
      <c r="H20">
        <v>-11</v>
      </c>
      <c r="I20">
        <v>20</v>
      </c>
      <c r="N20">
        <v>1961</v>
      </c>
    </row>
    <row r="21" spans="3:14" x14ac:dyDescent="0.2">
      <c r="D21">
        <v>1962</v>
      </c>
      <c r="F21">
        <v>8</v>
      </c>
      <c r="G21">
        <v>0</v>
      </c>
      <c r="H21">
        <v>-8</v>
      </c>
      <c r="I21">
        <v>17</v>
      </c>
      <c r="N21">
        <v>1962</v>
      </c>
    </row>
    <row r="22" spans="3:14" x14ac:dyDescent="0.2">
      <c r="D22">
        <v>1963</v>
      </c>
      <c r="F22">
        <v>5</v>
      </c>
      <c r="G22">
        <v>-2</v>
      </c>
      <c r="H22">
        <v>-13</v>
      </c>
      <c r="I22">
        <v>17</v>
      </c>
      <c r="N22">
        <v>1963</v>
      </c>
    </row>
    <row r="23" spans="3:14" x14ac:dyDescent="0.2">
      <c r="D23">
        <v>1964</v>
      </c>
      <c r="F23">
        <v>9</v>
      </c>
      <c r="G23">
        <v>1</v>
      </c>
      <c r="H23">
        <v>-10</v>
      </c>
      <c r="I23">
        <v>13</v>
      </c>
      <c r="N23">
        <v>1964</v>
      </c>
    </row>
    <row r="24" spans="3:14" x14ac:dyDescent="0.2">
      <c r="D24">
        <v>1965</v>
      </c>
      <c r="F24">
        <v>8</v>
      </c>
      <c r="G24">
        <v>-3</v>
      </c>
      <c r="H24">
        <v>-14</v>
      </c>
      <c r="I24">
        <v>23</v>
      </c>
      <c r="N24">
        <v>1965</v>
      </c>
    </row>
    <row r="25" spans="3:14" x14ac:dyDescent="0.2">
      <c r="D25">
        <v>1966</v>
      </c>
      <c r="F25">
        <v>12</v>
      </c>
      <c r="G25">
        <v>-1</v>
      </c>
      <c r="H25">
        <v>-10</v>
      </c>
      <c r="I25">
        <v>17</v>
      </c>
      <c r="N25">
        <v>1966</v>
      </c>
    </row>
    <row r="26" spans="3:14" x14ac:dyDescent="0.2">
      <c r="D26">
        <v>1967</v>
      </c>
      <c r="F26">
        <v>11</v>
      </c>
      <c r="G26">
        <v>2</v>
      </c>
      <c r="H26">
        <v>-10</v>
      </c>
      <c r="I26">
        <v>12</v>
      </c>
      <c r="N26">
        <v>1967</v>
      </c>
    </row>
    <row r="27" spans="3:14" x14ac:dyDescent="0.2">
      <c r="D27">
        <v>1968</v>
      </c>
      <c r="F27">
        <v>4</v>
      </c>
      <c r="G27">
        <v>-4</v>
      </c>
      <c r="H27">
        <v>-16</v>
      </c>
      <c r="I27">
        <v>21</v>
      </c>
      <c r="N27">
        <v>1968</v>
      </c>
    </row>
    <row r="28" spans="3:14" x14ac:dyDescent="0.2">
      <c r="D28">
        <v>1969</v>
      </c>
      <c r="F28">
        <v>5</v>
      </c>
      <c r="G28">
        <v>-2</v>
      </c>
      <c r="H28">
        <v>-10</v>
      </c>
      <c r="I28">
        <v>24</v>
      </c>
      <c r="N28">
        <v>1969</v>
      </c>
    </row>
    <row r="29" spans="3:14" x14ac:dyDescent="0.2">
      <c r="C29">
        <v>1970</v>
      </c>
      <c r="D29">
        <v>1970</v>
      </c>
      <c r="J29">
        <f>SUM(F29:F38)/10</f>
        <v>4.5999999999999996</v>
      </c>
      <c r="K29">
        <f>SUM(G29:G38)/10</f>
        <v>-0.8</v>
      </c>
      <c r="L29">
        <f>SUM(H29:H38)/10</f>
        <v>-7</v>
      </c>
      <c r="N29">
        <v>1970</v>
      </c>
    </row>
    <row r="30" spans="3:14" x14ac:dyDescent="0.2">
      <c r="D30">
        <v>1971</v>
      </c>
      <c r="N30">
        <v>1971</v>
      </c>
    </row>
    <row r="31" spans="3:14" x14ac:dyDescent="0.2">
      <c r="D31">
        <v>1972</v>
      </c>
      <c r="N31">
        <v>1972</v>
      </c>
    </row>
    <row r="32" spans="3:14" x14ac:dyDescent="0.2">
      <c r="D32">
        <v>1973</v>
      </c>
      <c r="F32">
        <v>8</v>
      </c>
      <c r="G32">
        <v>0</v>
      </c>
      <c r="H32">
        <v>-10</v>
      </c>
      <c r="I32">
        <v>14</v>
      </c>
      <c r="N32">
        <v>1973</v>
      </c>
    </row>
    <row r="33" spans="3:14" x14ac:dyDescent="0.2">
      <c r="D33">
        <v>1974</v>
      </c>
      <c r="F33">
        <v>11</v>
      </c>
      <c r="G33">
        <v>1</v>
      </c>
      <c r="H33">
        <v>-11</v>
      </c>
      <c r="I33">
        <v>13</v>
      </c>
      <c r="N33">
        <v>1974</v>
      </c>
    </row>
    <row r="34" spans="3:14" x14ac:dyDescent="0.2">
      <c r="D34">
        <v>1975</v>
      </c>
      <c r="F34">
        <v>6</v>
      </c>
      <c r="G34">
        <v>2</v>
      </c>
      <c r="H34">
        <v>-5</v>
      </c>
      <c r="I34">
        <v>11</v>
      </c>
      <c r="N34">
        <v>1975</v>
      </c>
    </row>
    <row r="35" spans="3:14" x14ac:dyDescent="0.2">
      <c r="D35">
        <v>1976</v>
      </c>
      <c r="F35">
        <v>7</v>
      </c>
      <c r="G35">
        <v>-3</v>
      </c>
      <c r="H35">
        <v>-14</v>
      </c>
      <c r="I35">
        <v>22</v>
      </c>
      <c r="N35">
        <v>1976</v>
      </c>
    </row>
    <row r="36" spans="3:14" x14ac:dyDescent="0.2">
      <c r="D36" t="s">
        <v>29</v>
      </c>
      <c r="F36">
        <v>1</v>
      </c>
      <c r="G36">
        <v>-4</v>
      </c>
      <c r="H36">
        <v>-13</v>
      </c>
      <c r="I36">
        <v>28</v>
      </c>
      <c r="N36">
        <v>1977</v>
      </c>
    </row>
    <row r="37" spans="3:14" x14ac:dyDescent="0.2">
      <c r="D37">
        <v>1978</v>
      </c>
      <c r="F37">
        <v>5</v>
      </c>
      <c r="G37">
        <v>-3</v>
      </c>
      <c r="H37">
        <v>-8</v>
      </c>
      <c r="I37">
        <v>25</v>
      </c>
      <c r="N37">
        <v>1978</v>
      </c>
    </row>
    <row r="38" spans="3:14" x14ac:dyDescent="0.2">
      <c r="D38">
        <v>1979</v>
      </c>
      <c r="F38">
        <v>8</v>
      </c>
      <c r="G38">
        <v>-1</v>
      </c>
      <c r="H38">
        <v>-9</v>
      </c>
      <c r="I38">
        <v>17</v>
      </c>
      <c r="N38">
        <v>1979</v>
      </c>
    </row>
    <row r="39" spans="3:14" x14ac:dyDescent="0.2">
      <c r="C39">
        <v>1980</v>
      </c>
      <c r="D39" t="s">
        <v>30</v>
      </c>
      <c r="F39">
        <v>8</v>
      </c>
      <c r="G39">
        <v>1</v>
      </c>
      <c r="H39">
        <v>-8</v>
      </c>
      <c r="I39">
        <v>12</v>
      </c>
      <c r="J39">
        <f>SUM(F39:F48)/10</f>
        <v>7.2</v>
      </c>
      <c r="K39">
        <f>SUM(G39:G48)/10</f>
        <v>-1.2</v>
      </c>
      <c r="L39">
        <f>SUM(H39:H48)/10</f>
        <v>-11.9</v>
      </c>
      <c r="N39">
        <v>1980</v>
      </c>
    </row>
    <row r="40" spans="3:14" x14ac:dyDescent="0.2">
      <c r="D40">
        <v>1981</v>
      </c>
      <c r="F40">
        <v>4</v>
      </c>
      <c r="G40">
        <v>-5</v>
      </c>
      <c r="H40">
        <v>-14</v>
      </c>
      <c r="I40">
        <v>27</v>
      </c>
      <c r="N40">
        <v>1981</v>
      </c>
    </row>
    <row r="41" spans="3:14" x14ac:dyDescent="0.2">
      <c r="D41">
        <v>1982</v>
      </c>
      <c r="F41">
        <v>8</v>
      </c>
      <c r="G41">
        <v>-4</v>
      </c>
      <c r="H41">
        <v>-15</v>
      </c>
      <c r="I41">
        <v>23</v>
      </c>
      <c r="N41">
        <v>1982</v>
      </c>
    </row>
    <row r="42" spans="3:14" x14ac:dyDescent="0.2">
      <c r="D42" t="s">
        <v>31</v>
      </c>
      <c r="F42">
        <v>9</v>
      </c>
      <c r="G42">
        <v>0</v>
      </c>
      <c r="H42">
        <v>-11</v>
      </c>
      <c r="I42">
        <v>13</v>
      </c>
      <c r="N42">
        <v>1983</v>
      </c>
    </row>
    <row r="43" spans="3:14" x14ac:dyDescent="0.2">
      <c r="D43">
        <v>1984</v>
      </c>
      <c r="F43">
        <v>5</v>
      </c>
      <c r="G43">
        <v>-2</v>
      </c>
      <c r="H43">
        <v>-12</v>
      </c>
      <c r="I43">
        <v>20</v>
      </c>
      <c r="N43">
        <v>1984</v>
      </c>
    </row>
    <row r="44" spans="3:14" x14ac:dyDescent="0.2">
      <c r="D44">
        <v>1985</v>
      </c>
      <c r="F44">
        <v>5</v>
      </c>
      <c r="G44">
        <f>-2</f>
        <v>-2</v>
      </c>
      <c r="H44">
        <v>-15</v>
      </c>
      <c r="I44">
        <v>23</v>
      </c>
      <c r="N44">
        <v>1985</v>
      </c>
    </row>
    <row r="45" spans="3:14" x14ac:dyDescent="0.2">
      <c r="D45">
        <v>1986</v>
      </c>
      <c r="F45">
        <v>10</v>
      </c>
      <c r="G45">
        <v>0</v>
      </c>
      <c r="H45">
        <v>-10</v>
      </c>
      <c r="I45">
        <v>14</v>
      </c>
      <c r="N45">
        <v>1986</v>
      </c>
    </row>
    <row r="46" spans="3:14" x14ac:dyDescent="0.2">
      <c r="D46">
        <v>1987</v>
      </c>
      <c r="F46">
        <v>9</v>
      </c>
      <c r="G46">
        <v>0</v>
      </c>
      <c r="H46">
        <v>-9</v>
      </c>
      <c r="I46">
        <v>18</v>
      </c>
      <c r="N46">
        <v>1987</v>
      </c>
    </row>
    <row r="47" spans="3:14" x14ac:dyDescent="0.2">
      <c r="D47">
        <v>1988</v>
      </c>
      <c r="F47">
        <v>7</v>
      </c>
      <c r="G47">
        <v>-2</v>
      </c>
      <c r="H47">
        <v>-15</v>
      </c>
      <c r="I47">
        <v>19</v>
      </c>
      <c r="N47">
        <v>1988</v>
      </c>
    </row>
    <row r="48" spans="3:14" x14ac:dyDescent="0.2">
      <c r="D48">
        <v>1989</v>
      </c>
      <c r="F48">
        <v>7</v>
      </c>
      <c r="G48">
        <v>2</v>
      </c>
      <c r="H48">
        <v>-10</v>
      </c>
      <c r="I48">
        <v>8</v>
      </c>
      <c r="N48">
        <v>1989</v>
      </c>
    </row>
    <row r="49" spans="3:14" x14ac:dyDescent="0.2">
      <c r="C49">
        <v>1990</v>
      </c>
      <c r="D49">
        <v>1990</v>
      </c>
      <c r="F49">
        <v>10</v>
      </c>
      <c r="G49">
        <v>4</v>
      </c>
      <c r="H49">
        <v>-2</v>
      </c>
      <c r="I49">
        <v>2</v>
      </c>
      <c r="J49">
        <f>SUM(F49:F58)/10</f>
        <v>9.1</v>
      </c>
      <c r="K49">
        <f>SUM(G49:G58)/10</f>
        <v>0.7</v>
      </c>
      <c r="L49">
        <f>SUM(H49:H58)/10</f>
        <v>-8.4</v>
      </c>
      <c r="N49">
        <v>1990</v>
      </c>
    </row>
    <row r="50" spans="3:14" x14ac:dyDescent="0.2">
      <c r="D50">
        <v>1991</v>
      </c>
      <c r="F50">
        <v>8</v>
      </c>
      <c r="G50">
        <v>0</v>
      </c>
      <c r="H50">
        <v>-11</v>
      </c>
      <c r="I50">
        <v>15</v>
      </c>
      <c r="N50">
        <v>1991</v>
      </c>
    </row>
    <row r="51" spans="3:14" x14ac:dyDescent="0.2">
      <c r="D51">
        <v>1992</v>
      </c>
      <c r="F51">
        <v>9</v>
      </c>
      <c r="G51">
        <v>1</v>
      </c>
      <c r="H51">
        <v>-9</v>
      </c>
      <c r="I51">
        <v>14</v>
      </c>
      <c r="N51">
        <v>1992</v>
      </c>
    </row>
    <row r="52" spans="3:14" x14ac:dyDescent="0.2">
      <c r="D52">
        <v>1993</v>
      </c>
      <c r="F52">
        <v>9</v>
      </c>
      <c r="G52">
        <v>1</v>
      </c>
      <c r="H52">
        <v>-5</v>
      </c>
      <c r="I52">
        <v>16</v>
      </c>
      <c r="N52">
        <v>1993</v>
      </c>
    </row>
    <row r="53" spans="3:14" x14ac:dyDescent="0.2">
      <c r="D53">
        <v>1994</v>
      </c>
      <c r="F53">
        <v>5</v>
      </c>
      <c r="G53">
        <v>-4</v>
      </c>
      <c r="H53">
        <v>-15</v>
      </c>
      <c r="I53">
        <v>22</v>
      </c>
      <c r="N53">
        <v>1994</v>
      </c>
    </row>
    <row r="54" spans="3:14" x14ac:dyDescent="0.2">
      <c r="D54">
        <v>1995</v>
      </c>
      <c r="F54">
        <v>11</v>
      </c>
      <c r="G54">
        <v>2</v>
      </c>
      <c r="H54">
        <v>-5</v>
      </c>
      <c r="I54">
        <v>13</v>
      </c>
      <c r="N54">
        <v>1995</v>
      </c>
    </row>
    <row r="55" spans="3:14" x14ac:dyDescent="0.2">
      <c r="D55">
        <v>1996</v>
      </c>
      <c r="F55">
        <v>7</v>
      </c>
      <c r="G55">
        <v>-2</v>
      </c>
      <c r="H55">
        <v>-12</v>
      </c>
      <c r="I55">
        <v>20</v>
      </c>
      <c r="N55">
        <v>1996</v>
      </c>
    </row>
    <row r="56" spans="3:14" x14ac:dyDescent="0.2">
      <c r="D56">
        <v>1997</v>
      </c>
      <c r="F56">
        <v>9</v>
      </c>
      <c r="G56">
        <v>1</v>
      </c>
      <c r="H56">
        <v>-9</v>
      </c>
      <c r="I56">
        <v>18</v>
      </c>
      <c r="N56">
        <v>1997</v>
      </c>
    </row>
    <row r="57" spans="3:14" x14ac:dyDescent="0.2">
      <c r="D57">
        <v>1998</v>
      </c>
      <c r="F57">
        <v>12</v>
      </c>
      <c r="G57">
        <v>3</v>
      </c>
      <c r="H57">
        <v>-4</v>
      </c>
      <c r="I57">
        <v>7</v>
      </c>
      <c r="N57">
        <v>1998</v>
      </c>
    </row>
    <row r="58" spans="3:14" x14ac:dyDescent="0.2">
      <c r="D58">
        <v>1999</v>
      </c>
      <c r="F58">
        <v>11</v>
      </c>
      <c r="G58">
        <v>1</v>
      </c>
      <c r="H58">
        <v>-12</v>
      </c>
      <c r="I58">
        <v>13</v>
      </c>
      <c r="N58">
        <v>1999</v>
      </c>
    </row>
    <row r="59" spans="3:14" x14ac:dyDescent="0.2">
      <c r="C59">
        <v>2000</v>
      </c>
      <c r="D59">
        <v>2000</v>
      </c>
      <c r="F59">
        <v>11</v>
      </c>
      <c r="G59">
        <v>-1</v>
      </c>
      <c r="H59">
        <v>-13</v>
      </c>
      <c r="I59">
        <v>17</v>
      </c>
      <c r="J59">
        <f>SUM(F59:F68)/10</f>
        <v>8</v>
      </c>
      <c r="K59">
        <f>SUM(G59:G68)/10</f>
        <v>-0.7</v>
      </c>
      <c r="L59">
        <f>SUM(H59:H68)/10</f>
        <v>-10.3</v>
      </c>
      <c r="N59">
        <v>2000</v>
      </c>
    </row>
    <row r="60" spans="3:14" x14ac:dyDescent="0.2">
      <c r="D60">
        <v>2001</v>
      </c>
      <c r="F60">
        <v>6</v>
      </c>
      <c r="G60">
        <v>0</v>
      </c>
      <c r="H60">
        <v>-6</v>
      </c>
      <c r="I60">
        <v>17</v>
      </c>
      <c r="N60">
        <v>2001</v>
      </c>
    </row>
    <row r="61" spans="3:14" x14ac:dyDescent="0.2">
      <c r="D61">
        <v>2002</v>
      </c>
      <c r="F61">
        <v>9</v>
      </c>
      <c r="G61">
        <v>3</v>
      </c>
      <c r="H61">
        <v>-3</v>
      </c>
      <c r="I61">
        <v>7</v>
      </c>
      <c r="N61">
        <v>2002</v>
      </c>
    </row>
    <row r="62" spans="3:14" x14ac:dyDescent="0.2">
      <c r="D62">
        <v>2003</v>
      </c>
      <c r="F62">
        <v>5</v>
      </c>
      <c r="G62">
        <v>-4</v>
      </c>
      <c r="H62">
        <v>-12</v>
      </c>
      <c r="I62">
        <v>27</v>
      </c>
      <c r="N62">
        <v>2003</v>
      </c>
    </row>
    <row r="63" spans="3:14" x14ac:dyDescent="0.2">
      <c r="D63">
        <v>2004</v>
      </c>
      <c r="F63">
        <v>7</v>
      </c>
      <c r="G63">
        <v>-6</v>
      </c>
      <c r="H63">
        <v>-15</v>
      </c>
      <c r="I63">
        <v>26</v>
      </c>
      <c r="N63">
        <v>2004</v>
      </c>
    </row>
    <row r="64" spans="3:14" x14ac:dyDescent="0.2">
      <c r="D64">
        <v>2005</v>
      </c>
      <c r="F64">
        <v>7</v>
      </c>
      <c r="G64">
        <v>-2</v>
      </c>
      <c r="H64">
        <v>-13</v>
      </c>
      <c r="I64">
        <v>20</v>
      </c>
      <c r="N64">
        <v>2005</v>
      </c>
    </row>
    <row r="65" spans="3:14" x14ac:dyDescent="0.2">
      <c r="D65">
        <v>2006</v>
      </c>
      <c r="F65">
        <v>10</v>
      </c>
      <c r="G65">
        <v>3</v>
      </c>
      <c r="H65">
        <v>-7</v>
      </c>
      <c r="I65">
        <v>7</v>
      </c>
      <c r="N65">
        <v>2006</v>
      </c>
    </row>
    <row r="66" spans="3:14" x14ac:dyDescent="0.2">
      <c r="D66">
        <v>2007</v>
      </c>
      <c r="F66">
        <v>13</v>
      </c>
      <c r="G66">
        <v>2</v>
      </c>
      <c r="H66">
        <v>-11</v>
      </c>
      <c r="I66">
        <v>15</v>
      </c>
      <c r="N66">
        <v>2007</v>
      </c>
    </row>
    <row r="67" spans="3:14" x14ac:dyDescent="0.2">
      <c r="D67">
        <v>2008</v>
      </c>
      <c r="F67">
        <v>9</v>
      </c>
      <c r="G67">
        <v>1</v>
      </c>
      <c r="H67">
        <v>-11</v>
      </c>
      <c r="I67">
        <v>12</v>
      </c>
      <c r="N67">
        <v>2008</v>
      </c>
    </row>
    <row r="68" spans="3:14" x14ac:dyDescent="0.2">
      <c r="D68">
        <v>2009</v>
      </c>
      <c r="F68">
        <v>3</v>
      </c>
      <c r="G68">
        <v>-3</v>
      </c>
      <c r="H68">
        <v>-12</v>
      </c>
      <c r="I68">
        <v>27</v>
      </c>
      <c r="N68">
        <v>2009</v>
      </c>
    </row>
    <row r="69" spans="3:14" x14ac:dyDescent="0.2">
      <c r="C69">
        <v>2010</v>
      </c>
      <c r="D69">
        <v>2010</v>
      </c>
      <c r="F69">
        <v>9</v>
      </c>
      <c r="G69">
        <v>-1</v>
      </c>
      <c r="H69">
        <v>-9</v>
      </c>
      <c r="I69">
        <v>18</v>
      </c>
      <c r="J69">
        <f>SUM(F69:F78)/9</f>
        <v>8.1428595673881947</v>
      </c>
      <c r="K69">
        <f>SUM(G69:G78)/9</f>
        <v>-0.41388565155714752</v>
      </c>
      <c r="L69">
        <f>SUM(H69:H78)/9</f>
        <v>-9.6219300414281754</v>
      </c>
      <c r="N69">
        <v>2010</v>
      </c>
    </row>
    <row r="70" spans="3:14" x14ac:dyDescent="0.2">
      <c r="D70">
        <v>2011</v>
      </c>
      <c r="F70">
        <v>6</v>
      </c>
      <c r="G70">
        <v>-2</v>
      </c>
      <c r="H70">
        <v>-12</v>
      </c>
      <c r="I70">
        <v>27</v>
      </c>
      <c r="N70">
        <v>2011</v>
      </c>
    </row>
    <row r="71" spans="3:14" x14ac:dyDescent="0.2">
      <c r="D71">
        <v>2012</v>
      </c>
      <c r="F71">
        <v>8</v>
      </c>
      <c r="G71">
        <v>2</v>
      </c>
      <c r="H71">
        <v>-8</v>
      </c>
      <c r="I71">
        <v>9</v>
      </c>
      <c r="N71">
        <v>2012</v>
      </c>
    </row>
    <row r="72" spans="3:14" x14ac:dyDescent="0.2">
      <c r="D72">
        <v>2013</v>
      </c>
      <c r="F72">
        <v>9</v>
      </c>
      <c r="G72">
        <v>1</v>
      </c>
      <c r="H72">
        <v>-9</v>
      </c>
      <c r="I72">
        <v>11</v>
      </c>
      <c r="N72">
        <v>2013</v>
      </c>
    </row>
    <row r="73" spans="3:14" x14ac:dyDescent="0.2">
      <c r="D73">
        <v>2014</v>
      </c>
      <c r="F73">
        <v>8</v>
      </c>
      <c r="G73">
        <v>-2</v>
      </c>
      <c r="H73">
        <v>-12</v>
      </c>
      <c r="I73">
        <v>21</v>
      </c>
      <c r="N73">
        <v>2014</v>
      </c>
    </row>
    <row r="74" spans="3:14" x14ac:dyDescent="0.2">
      <c r="D74">
        <v>2015</v>
      </c>
      <c r="F74">
        <v>6</v>
      </c>
      <c r="G74">
        <v>-2</v>
      </c>
      <c r="H74">
        <v>-9</v>
      </c>
      <c r="I74">
        <v>20</v>
      </c>
      <c r="N74">
        <v>2015</v>
      </c>
    </row>
    <row r="75" spans="3:14" x14ac:dyDescent="0.2">
      <c r="D75">
        <v>2016</v>
      </c>
      <c r="F75">
        <v>11</v>
      </c>
      <c r="G75">
        <v>0</v>
      </c>
      <c r="H75">
        <v>-8</v>
      </c>
      <c r="I75">
        <v>17</v>
      </c>
      <c r="N75">
        <v>2016</v>
      </c>
    </row>
    <row r="76" spans="3:14" x14ac:dyDescent="0.2">
      <c r="D76">
        <v>2017</v>
      </c>
      <c r="F76">
        <v>8</v>
      </c>
      <c r="G76">
        <v>2</v>
      </c>
      <c r="H76">
        <v>-8</v>
      </c>
      <c r="I76">
        <v>12</v>
      </c>
      <c r="N76">
        <v>2017</v>
      </c>
    </row>
    <row r="77" spans="3:14" x14ac:dyDescent="0.2">
      <c r="D77">
        <v>2018</v>
      </c>
      <c r="F77">
        <v>8</v>
      </c>
      <c r="G77">
        <v>-2</v>
      </c>
      <c r="H77">
        <v>-12</v>
      </c>
      <c r="I77">
        <v>18</v>
      </c>
      <c r="N77">
        <v>2018</v>
      </c>
    </row>
    <row r="78" spans="3:14" x14ac:dyDescent="0.2">
      <c r="F78">
        <f>STDEV(F9:F77)/SQRT(66)</f>
        <v>0.28573610649376024</v>
      </c>
      <c r="G78">
        <f>STDEV(G9:G77)/SQRT(66)</f>
        <v>0.27502913598567269</v>
      </c>
      <c r="H78">
        <f>STDEV(H9:H77)/SQRT(66)</f>
        <v>0.4026296271464273</v>
      </c>
    </row>
    <row r="81" spans="4:18" x14ac:dyDescent="0.2">
      <c r="D81" s="4" t="s">
        <v>24</v>
      </c>
      <c r="N81" s="4" t="s">
        <v>24</v>
      </c>
    </row>
    <row r="83" spans="4:18" x14ac:dyDescent="0.2">
      <c r="D83" s="3" t="s">
        <v>25</v>
      </c>
      <c r="F83">
        <f>COUNT(F9:F77)</f>
        <v>66</v>
      </c>
      <c r="G83">
        <f t="shared" ref="G83:H83" si="0">COUNT(G9:G77)</f>
        <v>66</v>
      </c>
      <c r="H83">
        <f t="shared" si="0"/>
        <v>66</v>
      </c>
      <c r="N83" s="3" t="s">
        <v>25</v>
      </c>
      <c r="P83">
        <f t="shared" ref="P83:R83" si="1">COUNT(P9:P77)</f>
        <v>0</v>
      </c>
      <c r="Q83">
        <f t="shared" si="1"/>
        <v>0</v>
      </c>
      <c r="R83">
        <f t="shared" si="1"/>
        <v>0</v>
      </c>
    </row>
    <row r="84" spans="4:18" x14ac:dyDescent="0.2">
      <c r="D84" s="3" t="s">
        <v>5</v>
      </c>
      <c r="F84" s="6">
        <f>AVERAGE(F9:F77)</f>
        <v>7.8939393939393936</v>
      </c>
      <c r="G84" s="6">
        <f t="shared" ref="G84:H84" si="2">AVERAGE(G9:G77)</f>
        <v>-0.5</v>
      </c>
      <c r="H84" s="6">
        <f t="shared" si="2"/>
        <v>-10.090909090909092</v>
      </c>
      <c r="N84" s="3" t="s">
        <v>5</v>
      </c>
      <c r="P84" s="6" t="e">
        <f>AVERAGE(P9:P77)</f>
        <v>#DIV/0!</v>
      </c>
      <c r="Q84" s="6" t="e">
        <f t="shared" ref="Q84:R84" si="3">AVERAGE(Q9:Q77)</f>
        <v>#DIV/0!</v>
      </c>
      <c r="R84" s="6" t="e">
        <f t="shared" si="3"/>
        <v>#DIV/0!</v>
      </c>
    </row>
    <row r="85" spans="4:18" x14ac:dyDescent="0.2">
      <c r="D85" s="3" t="s">
        <v>26</v>
      </c>
      <c r="F85" s="6">
        <f>STDEV(F9:F77)</f>
        <v>2.3213311027464592</v>
      </c>
      <c r="G85" s="6">
        <f t="shared" ref="G85:H85" si="4">STDEV(G9:G77)</f>
        <v>2.2343472631414509</v>
      </c>
      <c r="H85" s="6">
        <f t="shared" si="4"/>
        <v>3.2709785537818332</v>
      </c>
      <c r="N85" s="3" t="s">
        <v>26</v>
      </c>
      <c r="P85" s="6" t="e">
        <f>STDEV(P9:P77)</f>
        <v>#DIV/0!</v>
      </c>
      <c r="Q85" s="6" t="e">
        <f t="shared" ref="Q85:R85" si="5">STDEV(Q9:Q77)</f>
        <v>#DIV/0!</v>
      </c>
      <c r="R85" s="6" t="e">
        <f t="shared" si="5"/>
        <v>#DIV/0!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5"/>
  <sheetViews>
    <sheetView topLeftCell="B51" workbookViewId="0">
      <selection activeCell="H78" sqref="H78"/>
    </sheetView>
  </sheetViews>
  <sheetFormatPr baseColWidth="10" defaultColWidth="8.83203125" defaultRowHeight="15" x14ac:dyDescent="0.2"/>
  <cols>
    <col min="1" max="1" width="15" customWidth="1"/>
    <col min="9" max="9" width="28.83203125" customWidth="1"/>
    <col min="15" max="15" width="5.83203125" customWidth="1"/>
    <col min="16" max="16" width="12.5" customWidth="1"/>
    <col min="17" max="17" width="16.33203125" customWidth="1"/>
    <col min="18" max="18" width="13.1640625" customWidth="1"/>
  </cols>
  <sheetData>
    <row r="1" spans="1:19" x14ac:dyDescent="0.2">
      <c r="A1" t="s">
        <v>0</v>
      </c>
      <c r="E1" t="s">
        <v>14</v>
      </c>
      <c r="F1" t="s">
        <v>20</v>
      </c>
      <c r="J1" t="s">
        <v>10</v>
      </c>
    </row>
    <row r="2" spans="1:19" x14ac:dyDescent="0.2">
      <c r="A2" t="s">
        <v>11</v>
      </c>
    </row>
    <row r="4" spans="1:19" x14ac:dyDescent="0.2">
      <c r="C4" s="4" t="s">
        <v>2</v>
      </c>
      <c r="G4" s="4" t="s">
        <v>8</v>
      </c>
      <c r="Q4" s="4" t="s">
        <v>16</v>
      </c>
    </row>
    <row r="5" spans="1:19" x14ac:dyDescent="0.2">
      <c r="J5" t="s">
        <v>9</v>
      </c>
      <c r="K5" t="s">
        <v>9</v>
      </c>
      <c r="L5" t="s">
        <v>9</v>
      </c>
    </row>
    <row r="6" spans="1:19" x14ac:dyDescent="0.2">
      <c r="F6" s="2" t="s">
        <v>5</v>
      </c>
      <c r="G6" s="2" t="s">
        <v>5</v>
      </c>
      <c r="H6" s="2" t="s">
        <v>5</v>
      </c>
      <c r="I6" t="s">
        <v>23</v>
      </c>
      <c r="J6" s="2" t="s">
        <v>5</v>
      </c>
      <c r="K6" s="2" t="s">
        <v>5</v>
      </c>
      <c r="L6" s="2" t="s">
        <v>5</v>
      </c>
      <c r="M6" s="2"/>
      <c r="P6" s="2" t="s">
        <v>17</v>
      </c>
      <c r="Q6" s="2" t="s">
        <v>12</v>
      </c>
      <c r="R6" s="2" t="s">
        <v>19</v>
      </c>
    </row>
    <row r="7" spans="1:19" x14ac:dyDescent="0.2">
      <c r="C7" t="s">
        <v>1</v>
      </c>
      <c r="D7" t="s">
        <v>3</v>
      </c>
      <c r="F7" s="2" t="s">
        <v>4</v>
      </c>
      <c r="G7" s="2" t="s">
        <v>6</v>
      </c>
      <c r="H7" s="2" t="s">
        <v>7</v>
      </c>
      <c r="I7" s="2" t="s">
        <v>32</v>
      </c>
      <c r="J7" s="2" t="s">
        <v>4</v>
      </c>
      <c r="K7" s="2" t="s">
        <v>6</v>
      </c>
      <c r="L7" s="2" t="s">
        <v>7</v>
      </c>
      <c r="M7" s="2"/>
      <c r="N7" t="s">
        <v>3</v>
      </c>
      <c r="P7" s="2" t="s">
        <v>27</v>
      </c>
      <c r="Q7" s="2" t="s">
        <v>18</v>
      </c>
      <c r="R7" s="2" t="s">
        <v>28</v>
      </c>
    </row>
    <row r="8" spans="1:19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">
      <c r="C9">
        <v>1950</v>
      </c>
      <c r="D9">
        <v>1950</v>
      </c>
      <c r="F9">
        <v>14</v>
      </c>
      <c r="G9">
        <v>8</v>
      </c>
      <c r="H9">
        <v>2</v>
      </c>
      <c r="I9">
        <v>0</v>
      </c>
      <c r="J9">
        <f>SUM(F9:F18)/10</f>
        <v>18.399999999999999</v>
      </c>
      <c r="K9">
        <f>SUM(G9:G18)/10</f>
        <v>10.6</v>
      </c>
      <c r="L9">
        <f>SUM(H9:H18)/10</f>
        <v>3.5</v>
      </c>
      <c r="N9">
        <v>1950</v>
      </c>
    </row>
    <row r="10" spans="1:19" x14ac:dyDescent="0.2">
      <c r="D10">
        <v>1951</v>
      </c>
      <c r="F10">
        <v>17</v>
      </c>
      <c r="G10">
        <v>11</v>
      </c>
      <c r="H10">
        <v>6</v>
      </c>
      <c r="I10">
        <v>0</v>
      </c>
      <c r="N10">
        <v>1951</v>
      </c>
    </row>
    <row r="11" spans="1:19" x14ac:dyDescent="0.2">
      <c r="D11">
        <v>1952</v>
      </c>
      <c r="F11">
        <v>22</v>
      </c>
      <c r="G11">
        <v>12</v>
      </c>
      <c r="H11">
        <v>6</v>
      </c>
      <c r="I11">
        <v>3</v>
      </c>
      <c r="N11">
        <v>1952</v>
      </c>
    </row>
    <row r="12" spans="1:19" x14ac:dyDescent="0.2">
      <c r="D12">
        <v>1953</v>
      </c>
      <c r="F12">
        <v>16</v>
      </c>
      <c r="G12">
        <v>11</v>
      </c>
      <c r="H12">
        <v>4</v>
      </c>
      <c r="I12">
        <v>0</v>
      </c>
      <c r="N12">
        <v>1953</v>
      </c>
    </row>
    <row r="13" spans="1:19" x14ac:dyDescent="0.2">
      <c r="D13">
        <v>1954</v>
      </c>
      <c r="F13">
        <v>19</v>
      </c>
      <c r="G13">
        <v>11</v>
      </c>
      <c r="H13">
        <v>-1</v>
      </c>
      <c r="I13">
        <v>1</v>
      </c>
      <c r="N13">
        <v>1954</v>
      </c>
    </row>
    <row r="14" spans="1:19" x14ac:dyDescent="0.2">
      <c r="D14">
        <v>1955</v>
      </c>
      <c r="F14">
        <v>19</v>
      </c>
      <c r="G14">
        <v>11</v>
      </c>
      <c r="H14">
        <v>6</v>
      </c>
      <c r="I14">
        <v>1</v>
      </c>
      <c r="N14">
        <v>1955</v>
      </c>
    </row>
    <row r="15" spans="1:19" x14ac:dyDescent="0.2">
      <c r="D15">
        <v>1956</v>
      </c>
      <c r="F15">
        <v>17</v>
      </c>
      <c r="G15">
        <v>9</v>
      </c>
      <c r="H15">
        <v>1</v>
      </c>
      <c r="I15">
        <v>0</v>
      </c>
      <c r="N15">
        <v>1956</v>
      </c>
    </row>
    <row r="16" spans="1:19" x14ac:dyDescent="0.2">
      <c r="D16">
        <v>1957</v>
      </c>
      <c r="F16">
        <v>22</v>
      </c>
      <c r="G16">
        <v>11</v>
      </c>
      <c r="H16">
        <v>3</v>
      </c>
      <c r="I16">
        <v>3</v>
      </c>
      <c r="N16">
        <v>1957</v>
      </c>
    </row>
    <row r="17" spans="3:14" x14ac:dyDescent="0.2">
      <c r="D17">
        <v>1958</v>
      </c>
      <c r="F17">
        <v>18</v>
      </c>
      <c r="G17">
        <v>11</v>
      </c>
      <c r="H17">
        <v>2</v>
      </c>
      <c r="I17">
        <v>0</v>
      </c>
      <c r="N17">
        <v>1958</v>
      </c>
    </row>
    <row r="18" spans="3:14" x14ac:dyDescent="0.2">
      <c r="D18">
        <v>1959</v>
      </c>
      <c r="F18">
        <v>20</v>
      </c>
      <c r="G18">
        <v>11</v>
      </c>
      <c r="H18">
        <v>6</v>
      </c>
      <c r="I18">
        <v>1</v>
      </c>
      <c r="N18">
        <v>1959</v>
      </c>
    </row>
    <row r="19" spans="3:14" x14ac:dyDescent="0.2">
      <c r="C19">
        <v>1960</v>
      </c>
      <c r="D19">
        <v>1960</v>
      </c>
      <c r="F19">
        <v>21</v>
      </c>
      <c r="G19">
        <v>11</v>
      </c>
      <c r="H19">
        <v>4</v>
      </c>
      <c r="I19">
        <v>1</v>
      </c>
      <c r="J19">
        <f>SUM(F19:F28)/10</f>
        <v>17.399999999999999</v>
      </c>
      <c r="K19">
        <f>SUM(G19:G28)/10</f>
        <v>9.4</v>
      </c>
      <c r="L19">
        <f>SUM(H19:H28)/10</f>
        <v>3</v>
      </c>
      <c r="N19">
        <v>1960</v>
      </c>
    </row>
    <row r="20" spans="3:14" x14ac:dyDescent="0.2">
      <c r="D20">
        <v>1961</v>
      </c>
      <c r="F20">
        <v>18</v>
      </c>
      <c r="G20">
        <v>9</v>
      </c>
      <c r="H20">
        <v>3</v>
      </c>
      <c r="I20">
        <v>0</v>
      </c>
      <c r="N20">
        <v>1961</v>
      </c>
    </row>
    <row r="21" spans="3:14" x14ac:dyDescent="0.2">
      <c r="D21">
        <v>1962</v>
      </c>
      <c r="F21">
        <v>18</v>
      </c>
      <c r="G21">
        <v>11</v>
      </c>
      <c r="H21">
        <v>4</v>
      </c>
      <c r="I21">
        <v>0</v>
      </c>
      <c r="N21">
        <v>1962</v>
      </c>
    </row>
    <row r="22" spans="3:14" x14ac:dyDescent="0.2">
      <c r="D22">
        <v>1963</v>
      </c>
      <c r="F22">
        <v>18</v>
      </c>
      <c r="G22">
        <v>11</v>
      </c>
      <c r="H22">
        <v>6</v>
      </c>
      <c r="I22">
        <v>0</v>
      </c>
      <c r="N22">
        <v>1963</v>
      </c>
    </row>
    <row r="23" spans="3:14" x14ac:dyDescent="0.2">
      <c r="D23">
        <v>1964</v>
      </c>
      <c r="F23">
        <v>20</v>
      </c>
      <c r="G23">
        <v>9</v>
      </c>
      <c r="H23">
        <v>1</v>
      </c>
      <c r="I23">
        <v>1</v>
      </c>
      <c r="N23">
        <v>1964</v>
      </c>
    </row>
    <row r="24" spans="3:14" x14ac:dyDescent="0.2">
      <c r="D24">
        <v>1965</v>
      </c>
      <c r="F24">
        <v>16</v>
      </c>
      <c r="G24">
        <v>8</v>
      </c>
      <c r="H24">
        <v>2</v>
      </c>
      <c r="I24">
        <v>0</v>
      </c>
      <c r="N24">
        <v>1965</v>
      </c>
    </row>
    <row r="25" spans="3:14" x14ac:dyDescent="0.2">
      <c r="D25">
        <v>1966</v>
      </c>
      <c r="F25">
        <v>16</v>
      </c>
      <c r="G25">
        <v>8</v>
      </c>
      <c r="H25">
        <v>3</v>
      </c>
      <c r="I25">
        <v>0</v>
      </c>
      <c r="N25">
        <v>1966</v>
      </c>
    </row>
    <row r="26" spans="3:14" x14ac:dyDescent="0.2">
      <c r="D26">
        <v>1967</v>
      </c>
      <c r="F26">
        <v>14</v>
      </c>
      <c r="G26">
        <v>7</v>
      </c>
      <c r="H26">
        <v>2</v>
      </c>
      <c r="I26">
        <v>0</v>
      </c>
      <c r="N26">
        <v>1967</v>
      </c>
    </row>
    <row r="27" spans="3:14" x14ac:dyDescent="0.2">
      <c r="D27">
        <v>1968</v>
      </c>
      <c r="F27">
        <v>16</v>
      </c>
      <c r="G27">
        <v>10</v>
      </c>
      <c r="H27">
        <v>4</v>
      </c>
      <c r="I27">
        <v>0</v>
      </c>
      <c r="N27">
        <v>1968</v>
      </c>
    </row>
    <row r="28" spans="3:14" x14ac:dyDescent="0.2">
      <c r="D28">
        <v>1969</v>
      </c>
      <c r="F28">
        <v>17</v>
      </c>
      <c r="G28">
        <v>10</v>
      </c>
      <c r="H28">
        <v>1</v>
      </c>
      <c r="I28">
        <v>0</v>
      </c>
      <c r="N28">
        <v>1969</v>
      </c>
    </row>
    <row r="29" spans="3:14" x14ac:dyDescent="0.2">
      <c r="C29">
        <v>1970</v>
      </c>
      <c r="D29">
        <v>1970</v>
      </c>
      <c r="J29">
        <f>SUM(F29:F38)/10</f>
        <v>12.1</v>
      </c>
      <c r="K29">
        <f>SUM(G29:G38)/10</f>
        <v>6.5</v>
      </c>
      <c r="L29">
        <f>SUM(H29:H38)/10</f>
        <v>1.3</v>
      </c>
      <c r="N29">
        <v>1970</v>
      </c>
    </row>
    <row r="30" spans="3:14" x14ac:dyDescent="0.2">
      <c r="D30">
        <v>1971</v>
      </c>
      <c r="N30">
        <v>1971</v>
      </c>
    </row>
    <row r="31" spans="3:14" x14ac:dyDescent="0.2">
      <c r="D31">
        <v>1972</v>
      </c>
      <c r="N31">
        <v>1972</v>
      </c>
    </row>
    <row r="32" spans="3:14" x14ac:dyDescent="0.2">
      <c r="D32">
        <v>1973</v>
      </c>
      <c r="F32">
        <v>18</v>
      </c>
      <c r="G32">
        <v>9</v>
      </c>
      <c r="H32">
        <v>4</v>
      </c>
      <c r="I32">
        <v>0</v>
      </c>
      <c r="N32">
        <v>1973</v>
      </c>
    </row>
    <row r="33" spans="3:14" x14ac:dyDescent="0.2">
      <c r="D33">
        <v>1974</v>
      </c>
      <c r="F33">
        <v>19</v>
      </c>
      <c r="G33">
        <v>10</v>
      </c>
      <c r="H33">
        <v>0</v>
      </c>
      <c r="I33">
        <v>1</v>
      </c>
      <c r="N33">
        <v>1974</v>
      </c>
    </row>
    <row r="34" spans="3:14" x14ac:dyDescent="0.2">
      <c r="D34">
        <v>1975</v>
      </c>
      <c r="F34">
        <v>13</v>
      </c>
      <c r="G34">
        <v>7</v>
      </c>
      <c r="H34">
        <v>1</v>
      </c>
      <c r="I34">
        <v>0</v>
      </c>
      <c r="N34">
        <v>1975</v>
      </c>
    </row>
    <row r="35" spans="3:14" x14ac:dyDescent="0.2">
      <c r="D35">
        <v>1976</v>
      </c>
      <c r="F35">
        <v>22</v>
      </c>
      <c r="G35">
        <v>13</v>
      </c>
      <c r="H35">
        <v>4</v>
      </c>
      <c r="I35">
        <v>4</v>
      </c>
      <c r="N35">
        <v>1976</v>
      </c>
    </row>
    <row r="36" spans="3:14" x14ac:dyDescent="0.2">
      <c r="D36">
        <v>1977</v>
      </c>
      <c r="F36">
        <v>19</v>
      </c>
      <c r="G36">
        <v>10</v>
      </c>
      <c r="H36">
        <v>2</v>
      </c>
      <c r="I36">
        <v>1</v>
      </c>
      <c r="N36">
        <v>1977</v>
      </c>
    </row>
    <row r="37" spans="3:14" x14ac:dyDescent="0.2">
      <c r="D37">
        <v>1978</v>
      </c>
      <c r="F37">
        <v>15</v>
      </c>
      <c r="G37">
        <v>8</v>
      </c>
      <c r="H37">
        <v>0</v>
      </c>
      <c r="I37">
        <v>0</v>
      </c>
      <c r="N37">
        <v>1978</v>
      </c>
    </row>
    <row r="38" spans="3:14" x14ac:dyDescent="0.2">
      <c r="D38">
        <v>1979</v>
      </c>
      <c r="F38">
        <v>15</v>
      </c>
      <c r="G38">
        <v>8</v>
      </c>
      <c r="H38">
        <v>2</v>
      </c>
      <c r="I38">
        <v>0</v>
      </c>
      <c r="N38">
        <v>1979</v>
      </c>
    </row>
    <row r="39" spans="3:14" x14ac:dyDescent="0.2">
      <c r="C39">
        <v>1980</v>
      </c>
      <c r="D39">
        <v>1980</v>
      </c>
      <c r="F39">
        <v>16</v>
      </c>
      <c r="G39">
        <v>9</v>
      </c>
      <c r="H39">
        <v>2</v>
      </c>
      <c r="I39">
        <v>0</v>
      </c>
      <c r="J39">
        <f>SUM(F39:F48)/10</f>
        <v>17.3</v>
      </c>
      <c r="K39">
        <f>SUM(G39:G48)/10</f>
        <v>10.199999999999999</v>
      </c>
      <c r="L39">
        <f>SUM(H39:H48)/10</f>
        <v>3.3</v>
      </c>
      <c r="N39">
        <v>1980</v>
      </c>
    </row>
    <row r="40" spans="3:14" x14ac:dyDescent="0.2">
      <c r="D40">
        <v>1981</v>
      </c>
      <c r="F40">
        <v>18</v>
      </c>
      <c r="G40">
        <v>11</v>
      </c>
      <c r="H40">
        <v>6</v>
      </c>
      <c r="I40">
        <v>0</v>
      </c>
      <c r="N40">
        <v>1981</v>
      </c>
    </row>
    <row r="41" spans="3:14" x14ac:dyDescent="0.2">
      <c r="D41">
        <v>1982</v>
      </c>
      <c r="F41">
        <v>17</v>
      </c>
      <c r="G41">
        <v>9</v>
      </c>
      <c r="H41">
        <v>-4</v>
      </c>
      <c r="I41">
        <v>0</v>
      </c>
      <c r="N41">
        <v>1982</v>
      </c>
    </row>
    <row r="42" spans="3:14" x14ac:dyDescent="0.2">
      <c r="D42">
        <v>1983</v>
      </c>
      <c r="F42">
        <v>19</v>
      </c>
      <c r="G42">
        <v>11</v>
      </c>
      <c r="H42">
        <v>5</v>
      </c>
      <c r="I42">
        <v>2</v>
      </c>
      <c r="N42">
        <v>1983</v>
      </c>
    </row>
    <row r="43" spans="3:14" x14ac:dyDescent="0.2">
      <c r="D43">
        <v>1984</v>
      </c>
      <c r="F43">
        <v>16</v>
      </c>
      <c r="G43">
        <v>9</v>
      </c>
      <c r="H43">
        <v>4</v>
      </c>
      <c r="I43">
        <v>0</v>
      </c>
      <c r="N43">
        <v>1984</v>
      </c>
    </row>
    <row r="44" spans="3:14" x14ac:dyDescent="0.2">
      <c r="D44">
        <v>1985</v>
      </c>
      <c r="F44">
        <v>21</v>
      </c>
      <c r="G44">
        <v>11</v>
      </c>
      <c r="H44">
        <v>3</v>
      </c>
      <c r="I44">
        <v>1</v>
      </c>
      <c r="N44">
        <v>1985</v>
      </c>
    </row>
    <row r="45" spans="3:14" x14ac:dyDescent="0.2">
      <c r="D45">
        <v>1986</v>
      </c>
      <c r="F45">
        <v>17</v>
      </c>
      <c r="G45">
        <v>11</v>
      </c>
      <c r="H45">
        <v>4</v>
      </c>
      <c r="I45">
        <v>0</v>
      </c>
      <c r="N45">
        <v>1986</v>
      </c>
    </row>
    <row r="46" spans="3:14" x14ac:dyDescent="0.2">
      <c r="D46">
        <v>1987</v>
      </c>
      <c r="F46">
        <v>18</v>
      </c>
      <c r="G46">
        <v>11</v>
      </c>
      <c r="H46">
        <v>3</v>
      </c>
      <c r="I46">
        <v>0</v>
      </c>
      <c r="N46">
        <v>1987</v>
      </c>
    </row>
    <row r="47" spans="3:14" x14ac:dyDescent="0.2">
      <c r="D47">
        <v>1988</v>
      </c>
      <c r="F47">
        <v>15</v>
      </c>
      <c r="G47">
        <v>10</v>
      </c>
      <c r="H47">
        <v>5</v>
      </c>
      <c r="I47">
        <v>0</v>
      </c>
      <c r="N47">
        <v>1988</v>
      </c>
    </row>
    <row r="48" spans="3:14" x14ac:dyDescent="0.2">
      <c r="D48">
        <v>1989</v>
      </c>
      <c r="F48">
        <v>16</v>
      </c>
      <c r="G48">
        <v>10</v>
      </c>
      <c r="H48">
        <v>5</v>
      </c>
      <c r="I48">
        <v>0</v>
      </c>
      <c r="N48">
        <v>1989</v>
      </c>
    </row>
    <row r="49" spans="3:14" x14ac:dyDescent="0.2">
      <c r="C49">
        <v>1990</v>
      </c>
      <c r="D49">
        <v>1990</v>
      </c>
      <c r="F49">
        <v>23</v>
      </c>
      <c r="G49">
        <v>10</v>
      </c>
      <c r="H49">
        <v>4</v>
      </c>
      <c r="I49">
        <v>2</v>
      </c>
      <c r="J49">
        <f>SUM(F49:F58)/10</f>
        <v>17.399999999999999</v>
      </c>
      <c r="K49">
        <f>SUM(G49:G58)/10</f>
        <v>10.3</v>
      </c>
      <c r="L49">
        <f>SUM(H49:H58)/10</f>
        <v>3.5</v>
      </c>
      <c r="N49">
        <v>1990</v>
      </c>
    </row>
    <row r="50" spans="3:14" x14ac:dyDescent="0.2">
      <c r="D50">
        <v>1991</v>
      </c>
      <c r="F50">
        <v>21</v>
      </c>
      <c r="G50">
        <v>12</v>
      </c>
      <c r="H50">
        <v>6</v>
      </c>
      <c r="I50">
        <v>2</v>
      </c>
      <c r="N50">
        <v>1991</v>
      </c>
    </row>
    <row r="51" spans="3:14" x14ac:dyDescent="0.2">
      <c r="D51">
        <v>1992</v>
      </c>
      <c r="F51">
        <v>15</v>
      </c>
      <c r="G51">
        <v>8</v>
      </c>
      <c r="H51">
        <v>4</v>
      </c>
      <c r="I51">
        <v>0</v>
      </c>
      <c r="N51">
        <v>1992</v>
      </c>
    </row>
    <row r="52" spans="3:14" x14ac:dyDescent="0.2">
      <c r="D52">
        <v>1993</v>
      </c>
      <c r="F52">
        <v>15</v>
      </c>
      <c r="G52">
        <v>10</v>
      </c>
      <c r="H52">
        <v>2</v>
      </c>
      <c r="I52">
        <v>0</v>
      </c>
      <c r="N52">
        <v>1993</v>
      </c>
    </row>
    <row r="53" spans="3:14" x14ac:dyDescent="0.2">
      <c r="D53">
        <v>1994</v>
      </c>
      <c r="F53">
        <v>15</v>
      </c>
      <c r="G53">
        <v>10</v>
      </c>
      <c r="H53">
        <v>5</v>
      </c>
      <c r="I53">
        <v>0</v>
      </c>
      <c r="N53">
        <v>1994</v>
      </c>
    </row>
    <row r="54" spans="3:14" x14ac:dyDescent="0.2">
      <c r="D54">
        <v>1995</v>
      </c>
      <c r="F54">
        <v>16</v>
      </c>
      <c r="G54">
        <v>9</v>
      </c>
      <c r="H54">
        <v>-3</v>
      </c>
      <c r="I54">
        <v>0</v>
      </c>
      <c r="N54">
        <v>1995</v>
      </c>
    </row>
    <row r="55" spans="3:14" x14ac:dyDescent="0.2">
      <c r="D55">
        <v>1996</v>
      </c>
      <c r="F55">
        <v>16</v>
      </c>
      <c r="G55">
        <v>10</v>
      </c>
      <c r="H55">
        <v>2</v>
      </c>
      <c r="I55">
        <v>0</v>
      </c>
      <c r="N55">
        <v>1996</v>
      </c>
    </row>
    <row r="56" spans="3:14" x14ac:dyDescent="0.2">
      <c r="D56">
        <v>1997</v>
      </c>
      <c r="F56">
        <v>17</v>
      </c>
      <c r="G56">
        <v>11</v>
      </c>
      <c r="H56">
        <v>1</v>
      </c>
      <c r="I56">
        <v>0</v>
      </c>
      <c r="N56">
        <v>1997</v>
      </c>
    </row>
    <row r="57" spans="3:14" x14ac:dyDescent="0.2">
      <c r="D57">
        <v>1998</v>
      </c>
      <c r="F57">
        <v>17</v>
      </c>
      <c r="G57">
        <v>11</v>
      </c>
      <c r="H57">
        <v>7</v>
      </c>
      <c r="I57">
        <v>0</v>
      </c>
      <c r="N57">
        <v>1998</v>
      </c>
    </row>
    <row r="58" spans="3:14" x14ac:dyDescent="0.2">
      <c r="D58">
        <v>1999</v>
      </c>
      <c r="F58">
        <v>19</v>
      </c>
      <c r="G58">
        <v>12</v>
      </c>
      <c r="H58">
        <v>7</v>
      </c>
      <c r="I58">
        <v>1</v>
      </c>
      <c r="N58">
        <v>1999</v>
      </c>
    </row>
    <row r="59" spans="3:14" x14ac:dyDescent="0.2">
      <c r="C59">
        <v>2000</v>
      </c>
      <c r="D59">
        <v>2000</v>
      </c>
      <c r="F59">
        <v>15</v>
      </c>
      <c r="G59">
        <v>9</v>
      </c>
      <c r="H59">
        <v>3</v>
      </c>
      <c r="I59">
        <v>0</v>
      </c>
      <c r="J59">
        <f>SUM(F59:F68)/10</f>
        <v>17.899999999999999</v>
      </c>
      <c r="K59">
        <f>SUM(G59:G68)/10</f>
        <v>9.5</v>
      </c>
      <c r="L59">
        <f>SUM(H59:H68)/10</f>
        <v>2.9</v>
      </c>
      <c r="N59">
        <v>2000</v>
      </c>
    </row>
    <row r="60" spans="3:14" x14ac:dyDescent="0.2">
      <c r="D60">
        <v>2001</v>
      </c>
      <c r="F60">
        <v>19</v>
      </c>
      <c r="G60">
        <v>11</v>
      </c>
      <c r="H60">
        <v>4</v>
      </c>
      <c r="I60">
        <v>1</v>
      </c>
      <c r="N60">
        <v>2001</v>
      </c>
    </row>
    <row r="61" spans="3:14" x14ac:dyDescent="0.2">
      <c r="D61">
        <v>2002</v>
      </c>
      <c r="F61">
        <v>23</v>
      </c>
      <c r="G61">
        <v>10</v>
      </c>
      <c r="H61">
        <v>2</v>
      </c>
      <c r="I61">
        <v>2</v>
      </c>
      <c r="N61">
        <v>2002</v>
      </c>
    </row>
    <row r="62" spans="3:14" x14ac:dyDescent="0.2">
      <c r="D62">
        <v>2003</v>
      </c>
      <c r="F62">
        <v>16</v>
      </c>
      <c r="G62">
        <v>7</v>
      </c>
      <c r="H62">
        <v>-1</v>
      </c>
      <c r="I62">
        <v>0</v>
      </c>
      <c r="N62">
        <v>2003</v>
      </c>
    </row>
    <row r="63" spans="3:14" x14ac:dyDescent="0.2">
      <c r="D63">
        <v>2004</v>
      </c>
      <c r="F63">
        <v>16</v>
      </c>
      <c r="G63">
        <v>9</v>
      </c>
      <c r="H63">
        <v>1</v>
      </c>
      <c r="I63">
        <v>0</v>
      </c>
      <c r="N63">
        <v>2004</v>
      </c>
    </row>
    <row r="64" spans="3:14" x14ac:dyDescent="0.2">
      <c r="D64">
        <v>2005</v>
      </c>
      <c r="F64">
        <v>16</v>
      </c>
      <c r="G64">
        <v>10</v>
      </c>
      <c r="H64">
        <v>6</v>
      </c>
      <c r="I64">
        <v>0</v>
      </c>
      <c r="N64">
        <v>2005</v>
      </c>
    </row>
    <row r="65" spans="3:14" x14ac:dyDescent="0.2">
      <c r="D65">
        <v>2006</v>
      </c>
      <c r="F65">
        <v>17</v>
      </c>
      <c r="G65">
        <v>10</v>
      </c>
      <c r="H65">
        <v>4</v>
      </c>
      <c r="I65">
        <v>0</v>
      </c>
      <c r="N65">
        <v>2006</v>
      </c>
    </row>
    <row r="66" spans="3:14" x14ac:dyDescent="0.2">
      <c r="D66">
        <v>2007</v>
      </c>
      <c r="F66">
        <v>18</v>
      </c>
      <c r="G66">
        <v>8</v>
      </c>
      <c r="H66">
        <v>1</v>
      </c>
      <c r="I66">
        <v>0</v>
      </c>
      <c r="N66">
        <v>2007</v>
      </c>
    </row>
    <row r="67" spans="3:14" x14ac:dyDescent="0.2">
      <c r="D67">
        <v>2008</v>
      </c>
      <c r="F67">
        <v>19</v>
      </c>
      <c r="G67">
        <v>10</v>
      </c>
      <c r="H67">
        <v>3</v>
      </c>
      <c r="I67">
        <v>1</v>
      </c>
      <c r="N67">
        <v>2008</v>
      </c>
    </row>
    <row r="68" spans="3:14" x14ac:dyDescent="0.2">
      <c r="D68">
        <v>2009</v>
      </c>
      <c r="F68">
        <v>20</v>
      </c>
      <c r="G68">
        <v>11</v>
      </c>
      <c r="H68">
        <v>6</v>
      </c>
      <c r="I68">
        <v>2</v>
      </c>
      <c r="N68">
        <v>2009</v>
      </c>
    </row>
    <row r="69" spans="3:14" x14ac:dyDescent="0.2">
      <c r="C69">
        <v>2010</v>
      </c>
      <c r="D69">
        <v>2010</v>
      </c>
      <c r="F69">
        <v>16</v>
      </c>
      <c r="G69">
        <v>12</v>
      </c>
      <c r="H69">
        <v>8</v>
      </c>
      <c r="I69">
        <v>0</v>
      </c>
      <c r="J69">
        <f>SUM(F69:F78)/9</f>
        <v>16.143835463293627</v>
      </c>
      <c r="K69">
        <f>SUM(G69:G78)/9</f>
        <v>9.6853294281128441</v>
      </c>
      <c r="L69">
        <f>SUM(H69:H78)/9</f>
        <v>4.0331749406902606</v>
      </c>
      <c r="N69">
        <v>2010</v>
      </c>
    </row>
    <row r="70" spans="3:14" x14ac:dyDescent="0.2">
      <c r="D70">
        <v>2011</v>
      </c>
      <c r="F70">
        <v>15</v>
      </c>
      <c r="G70">
        <v>10</v>
      </c>
      <c r="H70">
        <v>4</v>
      </c>
      <c r="I70">
        <v>0</v>
      </c>
      <c r="N70">
        <v>2011</v>
      </c>
    </row>
    <row r="71" spans="3:14" x14ac:dyDescent="0.2">
      <c r="D71">
        <v>2012</v>
      </c>
      <c r="F71">
        <v>20</v>
      </c>
      <c r="G71">
        <v>11</v>
      </c>
      <c r="H71">
        <v>8</v>
      </c>
      <c r="I71">
        <v>1</v>
      </c>
      <c r="N71">
        <v>2012</v>
      </c>
    </row>
    <row r="72" spans="3:14" x14ac:dyDescent="0.2">
      <c r="D72">
        <v>2013</v>
      </c>
      <c r="F72">
        <v>16</v>
      </c>
      <c r="G72">
        <v>10</v>
      </c>
      <c r="H72">
        <v>4</v>
      </c>
      <c r="I72">
        <v>0</v>
      </c>
      <c r="N72">
        <v>2013</v>
      </c>
    </row>
    <row r="73" spans="3:14" x14ac:dyDescent="0.2">
      <c r="D73">
        <v>2014</v>
      </c>
      <c r="F73">
        <v>14</v>
      </c>
      <c r="G73">
        <v>9</v>
      </c>
      <c r="H73">
        <v>3</v>
      </c>
      <c r="I73">
        <v>0</v>
      </c>
      <c r="N73">
        <v>2014</v>
      </c>
    </row>
    <row r="74" spans="3:14" x14ac:dyDescent="0.2">
      <c r="D74">
        <v>2015</v>
      </c>
      <c r="F74">
        <v>15</v>
      </c>
      <c r="G74">
        <v>9</v>
      </c>
      <c r="H74">
        <v>4</v>
      </c>
      <c r="I74">
        <v>0</v>
      </c>
      <c r="N74">
        <v>2015</v>
      </c>
    </row>
    <row r="75" spans="3:14" x14ac:dyDescent="0.2">
      <c r="D75">
        <v>2016</v>
      </c>
      <c r="F75">
        <v>17</v>
      </c>
      <c r="G75">
        <v>9</v>
      </c>
      <c r="H75">
        <v>-1</v>
      </c>
      <c r="I75">
        <v>0</v>
      </c>
      <c r="N75">
        <v>2016</v>
      </c>
    </row>
    <row r="76" spans="3:14" x14ac:dyDescent="0.2">
      <c r="D76">
        <v>2017</v>
      </c>
      <c r="F76">
        <v>19</v>
      </c>
      <c r="G76">
        <v>10</v>
      </c>
      <c r="H76">
        <v>4</v>
      </c>
      <c r="I76">
        <v>1</v>
      </c>
      <c r="N76">
        <v>2017</v>
      </c>
    </row>
    <row r="77" spans="3:14" x14ac:dyDescent="0.2">
      <c r="D77">
        <v>2018</v>
      </c>
      <c r="F77">
        <v>13</v>
      </c>
      <c r="G77">
        <v>7</v>
      </c>
      <c r="H77">
        <v>2</v>
      </c>
      <c r="I77">
        <v>0</v>
      </c>
      <c r="N77">
        <v>2018</v>
      </c>
    </row>
    <row r="78" spans="3:14" x14ac:dyDescent="0.2">
      <c r="F78">
        <f>STDEV(F9:F77)/SQRT(66)</f>
        <v>0.29451916964264957</v>
      </c>
      <c r="G78">
        <f>STDEV(G9:G77)/SQRT(66)</f>
        <v>0.16796485301561001</v>
      </c>
      <c r="H78">
        <f>STDEV(H9:H77)/SQRT(66)</f>
        <v>0.29857446621234141</v>
      </c>
    </row>
    <row r="81" spans="4:18" x14ac:dyDescent="0.2">
      <c r="D81" s="4" t="s">
        <v>24</v>
      </c>
      <c r="N81" s="4" t="s">
        <v>24</v>
      </c>
    </row>
    <row r="83" spans="4:18" x14ac:dyDescent="0.2">
      <c r="D83" s="3" t="s">
        <v>25</v>
      </c>
      <c r="F83">
        <f>COUNT(F9:F77)</f>
        <v>66</v>
      </c>
      <c r="G83">
        <f t="shared" ref="G83:H83" si="0">COUNT(G9:G77)</f>
        <v>66</v>
      </c>
      <c r="H83">
        <f t="shared" si="0"/>
        <v>66</v>
      </c>
      <c r="N83" s="3" t="s">
        <v>25</v>
      </c>
      <c r="P83">
        <f t="shared" ref="P83:R83" si="1">COUNT(P9:P77)</f>
        <v>0</v>
      </c>
      <c r="Q83">
        <f t="shared" si="1"/>
        <v>0</v>
      </c>
      <c r="R83">
        <f t="shared" si="1"/>
        <v>0</v>
      </c>
    </row>
    <row r="84" spans="4:18" x14ac:dyDescent="0.2">
      <c r="D84" s="3" t="s">
        <v>5</v>
      </c>
      <c r="F84" s="6">
        <f>AVERAGE(F9:F77)</f>
        <v>17.424242424242426</v>
      </c>
      <c r="G84" s="6">
        <f t="shared" ref="G84:H84" si="2">AVERAGE(G9:G77)</f>
        <v>9.8787878787878789</v>
      </c>
      <c r="H84" s="6">
        <f t="shared" si="2"/>
        <v>3.1969696969696968</v>
      </c>
      <c r="N84" s="3" t="s">
        <v>5</v>
      </c>
      <c r="P84" s="6" t="e">
        <f>AVERAGE(P9:P77)</f>
        <v>#DIV/0!</v>
      </c>
      <c r="Q84" s="6" t="e">
        <f t="shared" ref="Q84:R84" si="3">AVERAGE(Q9:Q77)</f>
        <v>#DIV/0!</v>
      </c>
      <c r="R84" s="6" t="e">
        <f t="shared" si="3"/>
        <v>#DIV/0!</v>
      </c>
    </row>
    <row r="85" spans="4:18" x14ac:dyDescent="0.2">
      <c r="D85" s="3" t="s">
        <v>26</v>
      </c>
      <c r="F85" s="6">
        <f>STDEV(F9:F77)</f>
        <v>2.3926850450783785</v>
      </c>
      <c r="G85" s="6">
        <f t="shared" ref="G85:H85" si="4">STDEV(G9:G77)</f>
        <v>1.36455291652785</v>
      </c>
      <c r="H85" s="6">
        <f t="shared" si="4"/>
        <v>2.4256304301527436</v>
      </c>
      <c r="N85" s="3" t="s">
        <v>26</v>
      </c>
      <c r="P85" s="6" t="e">
        <f>STDEV(P9:P77)</f>
        <v>#DIV/0!</v>
      </c>
      <c r="Q85" s="6" t="e">
        <f t="shared" ref="Q85:R85" si="5">STDEV(Q9:Q77)</f>
        <v>#DIV/0!</v>
      </c>
      <c r="R85" s="6" t="e">
        <f t="shared" si="5"/>
        <v>#DIV/0!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5"/>
  <sheetViews>
    <sheetView workbookViewId="0">
      <selection activeCell="F78" sqref="F78"/>
    </sheetView>
  </sheetViews>
  <sheetFormatPr baseColWidth="10" defaultColWidth="8.83203125" defaultRowHeight="15" x14ac:dyDescent="0.2"/>
  <cols>
    <col min="1" max="1" width="14.5" customWidth="1"/>
    <col min="4" max="4" width="12.6640625" customWidth="1"/>
    <col min="9" max="9" width="26.5" customWidth="1"/>
    <col min="15" max="15" width="5" customWidth="1"/>
    <col min="16" max="16" width="13.83203125" customWidth="1"/>
    <col min="17" max="17" width="17.6640625" customWidth="1"/>
    <col min="18" max="18" width="13.5" customWidth="1"/>
  </cols>
  <sheetData>
    <row r="1" spans="1:19" x14ac:dyDescent="0.2">
      <c r="A1" t="s">
        <v>0</v>
      </c>
      <c r="E1" t="s">
        <v>14</v>
      </c>
      <c r="F1" t="s">
        <v>21</v>
      </c>
      <c r="J1" t="s">
        <v>10</v>
      </c>
    </row>
    <row r="2" spans="1:19" x14ac:dyDescent="0.2">
      <c r="A2" t="s">
        <v>11</v>
      </c>
    </row>
    <row r="4" spans="1:19" x14ac:dyDescent="0.2">
      <c r="C4" s="4" t="s">
        <v>2</v>
      </c>
      <c r="G4" s="4" t="s">
        <v>8</v>
      </c>
      <c r="Q4" s="4" t="s">
        <v>16</v>
      </c>
    </row>
    <row r="5" spans="1:19" x14ac:dyDescent="0.2">
      <c r="J5" t="s">
        <v>9</v>
      </c>
      <c r="K5" t="s">
        <v>9</v>
      </c>
      <c r="L5" t="s">
        <v>9</v>
      </c>
    </row>
    <row r="6" spans="1:19" x14ac:dyDescent="0.2">
      <c r="F6" s="2" t="s">
        <v>5</v>
      </c>
      <c r="G6" s="2" t="s">
        <v>5</v>
      </c>
      <c r="H6" s="2" t="s">
        <v>5</v>
      </c>
      <c r="I6" t="s">
        <v>23</v>
      </c>
      <c r="J6" s="2" t="s">
        <v>5</v>
      </c>
      <c r="K6" s="2" t="s">
        <v>5</v>
      </c>
      <c r="L6" s="2" t="s">
        <v>5</v>
      </c>
      <c r="M6" s="2"/>
      <c r="P6" s="2" t="s">
        <v>17</v>
      </c>
      <c r="Q6" s="2" t="s">
        <v>12</v>
      </c>
      <c r="R6" s="2" t="s">
        <v>19</v>
      </c>
    </row>
    <row r="7" spans="1:19" x14ac:dyDescent="0.2">
      <c r="C7" t="s">
        <v>1</v>
      </c>
      <c r="D7" t="s">
        <v>3</v>
      </c>
      <c r="F7" s="2" t="s">
        <v>4</v>
      </c>
      <c r="G7" s="2" t="s">
        <v>6</v>
      </c>
      <c r="H7" s="2" t="s">
        <v>7</v>
      </c>
      <c r="I7" s="2" t="s">
        <v>33</v>
      </c>
      <c r="J7" s="2" t="s">
        <v>4</v>
      </c>
      <c r="K7" s="2" t="s">
        <v>6</v>
      </c>
      <c r="L7" s="2" t="s">
        <v>7</v>
      </c>
      <c r="M7" s="2"/>
      <c r="N7" t="s">
        <v>3</v>
      </c>
      <c r="P7" s="2" t="s">
        <v>27</v>
      </c>
      <c r="Q7" s="2" t="s">
        <v>18</v>
      </c>
      <c r="R7" s="2" t="s">
        <v>28</v>
      </c>
    </row>
    <row r="8" spans="1:19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">
      <c r="C9">
        <v>1950</v>
      </c>
      <c r="D9">
        <v>1950</v>
      </c>
      <c r="F9">
        <v>25</v>
      </c>
      <c r="G9">
        <v>23</v>
      </c>
      <c r="H9">
        <v>18</v>
      </c>
      <c r="I9">
        <v>0</v>
      </c>
      <c r="J9">
        <f>SUM(F9:F18)/10</f>
        <v>28.2</v>
      </c>
      <c r="K9">
        <f>SUM(G9:G18)/10</f>
        <v>23.6</v>
      </c>
      <c r="L9">
        <f>SUM(H9:H18)/10</f>
        <v>19.399999999999999</v>
      </c>
      <c r="N9">
        <v>1950</v>
      </c>
    </row>
    <row r="10" spans="1:19" x14ac:dyDescent="0.2">
      <c r="D10">
        <v>1951</v>
      </c>
      <c r="F10">
        <v>27</v>
      </c>
      <c r="G10">
        <v>23</v>
      </c>
      <c r="H10">
        <v>21</v>
      </c>
      <c r="I10">
        <v>0</v>
      </c>
      <c r="N10">
        <v>1951</v>
      </c>
    </row>
    <row r="11" spans="1:19" x14ac:dyDescent="0.2">
      <c r="D11">
        <v>1952</v>
      </c>
      <c r="F11">
        <v>30</v>
      </c>
      <c r="G11">
        <v>26</v>
      </c>
      <c r="H11">
        <v>20</v>
      </c>
      <c r="I11">
        <v>4</v>
      </c>
      <c r="N11">
        <v>1952</v>
      </c>
    </row>
    <row r="12" spans="1:19" x14ac:dyDescent="0.2">
      <c r="D12">
        <v>1953</v>
      </c>
      <c r="F12">
        <v>31</v>
      </c>
      <c r="G12">
        <v>24</v>
      </c>
      <c r="H12">
        <v>19</v>
      </c>
      <c r="I12">
        <v>3</v>
      </c>
      <c r="N12">
        <v>1953</v>
      </c>
    </row>
    <row r="13" spans="1:19" x14ac:dyDescent="0.2">
      <c r="D13">
        <v>1954</v>
      </c>
      <c r="F13">
        <v>29</v>
      </c>
      <c r="G13">
        <v>23</v>
      </c>
      <c r="H13">
        <v>20</v>
      </c>
      <c r="I13">
        <v>1</v>
      </c>
      <c r="N13">
        <v>1954</v>
      </c>
    </row>
    <row r="14" spans="1:19" x14ac:dyDescent="0.2">
      <c r="D14">
        <v>1955</v>
      </c>
      <c r="F14">
        <v>29</v>
      </c>
      <c r="G14">
        <v>25</v>
      </c>
      <c r="H14">
        <v>22</v>
      </c>
      <c r="I14">
        <v>3</v>
      </c>
      <c r="N14">
        <v>1955</v>
      </c>
    </row>
    <row r="15" spans="1:19" x14ac:dyDescent="0.2">
      <c r="D15">
        <v>1956</v>
      </c>
      <c r="F15">
        <v>28</v>
      </c>
      <c r="G15">
        <v>22</v>
      </c>
      <c r="H15">
        <v>15</v>
      </c>
      <c r="I15">
        <v>0</v>
      </c>
      <c r="N15">
        <v>1956</v>
      </c>
    </row>
    <row r="16" spans="1:19" x14ac:dyDescent="0.2">
      <c r="D16">
        <v>1957</v>
      </c>
      <c r="F16">
        <v>31</v>
      </c>
      <c r="G16">
        <v>24</v>
      </c>
      <c r="H16">
        <v>21</v>
      </c>
      <c r="I16">
        <v>2</v>
      </c>
      <c r="N16">
        <v>1957</v>
      </c>
    </row>
    <row r="17" spans="3:14" x14ac:dyDescent="0.2">
      <c r="D17">
        <v>1958</v>
      </c>
      <c r="F17">
        <v>26</v>
      </c>
      <c r="G17">
        <v>23</v>
      </c>
      <c r="H17">
        <v>18</v>
      </c>
      <c r="I17">
        <v>0</v>
      </c>
      <c r="N17">
        <v>1958</v>
      </c>
    </row>
    <row r="18" spans="3:14" x14ac:dyDescent="0.2">
      <c r="D18">
        <v>1959</v>
      </c>
      <c r="F18">
        <v>26</v>
      </c>
      <c r="G18">
        <v>23</v>
      </c>
      <c r="H18">
        <v>20</v>
      </c>
      <c r="I18">
        <v>0</v>
      </c>
      <c r="N18">
        <v>1959</v>
      </c>
    </row>
    <row r="19" spans="3:14" x14ac:dyDescent="0.2">
      <c r="C19">
        <v>1960</v>
      </c>
      <c r="D19">
        <v>1960</v>
      </c>
      <c r="F19">
        <v>26</v>
      </c>
      <c r="G19">
        <v>23</v>
      </c>
      <c r="H19">
        <v>18</v>
      </c>
      <c r="I19">
        <v>0</v>
      </c>
      <c r="J19">
        <f>SUM(F19:F28)/10</f>
        <v>24.2</v>
      </c>
      <c r="K19">
        <f>SUM(G19:G28)/10</f>
        <v>20.7</v>
      </c>
      <c r="L19">
        <f>SUM(H19:H28)/10</f>
        <v>16.5</v>
      </c>
      <c r="N19">
        <v>1960</v>
      </c>
    </row>
    <row r="20" spans="3:14" x14ac:dyDescent="0.2">
      <c r="D20">
        <v>1961</v>
      </c>
      <c r="F20">
        <v>28</v>
      </c>
      <c r="G20">
        <v>23</v>
      </c>
      <c r="H20">
        <v>18</v>
      </c>
      <c r="I20">
        <v>0</v>
      </c>
      <c r="N20">
        <v>1961</v>
      </c>
    </row>
    <row r="21" spans="3:14" x14ac:dyDescent="0.2">
      <c r="D21">
        <v>1962</v>
      </c>
      <c r="F21">
        <v>25</v>
      </c>
      <c r="G21">
        <v>22</v>
      </c>
      <c r="H21">
        <v>18</v>
      </c>
      <c r="I21">
        <v>0</v>
      </c>
      <c r="N21">
        <v>1962</v>
      </c>
    </row>
    <row r="22" spans="3:14" x14ac:dyDescent="0.2">
      <c r="D22">
        <v>1963</v>
      </c>
      <c r="F22">
        <v>29</v>
      </c>
      <c r="G22">
        <v>24</v>
      </c>
      <c r="H22">
        <v>18</v>
      </c>
      <c r="I22">
        <v>3</v>
      </c>
      <c r="N22">
        <v>1963</v>
      </c>
    </row>
    <row r="23" spans="3:14" x14ac:dyDescent="0.2">
      <c r="D23">
        <v>1964</v>
      </c>
      <c r="F23">
        <v>26</v>
      </c>
      <c r="G23">
        <v>23</v>
      </c>
      <c r="H23">
        <v>16</v>
      </c>
      <c r="I23">
        <v>0</v>
      </c>
      <c r="N23">
        <v>1964</v>
      </c>
    </row>
    <row r="24" spans="3:14" x14ac:dyDescent="0.2">
      <c r="D24">
        <v>1965</v>
      </c>
      <c r="F24">
        <v>26</v>
      </c>
      <c r="G24">
        <v>23</v>
      </c>
      <c r="H24">
        <v>20</v>
      </c>
      <c r="I24">
        <v>0</v>
      </c>
      <c r="N24">
        <v>1965</v>
      </c>
    </row>
    <row r="25" spans="3:14" x14ac:dyDescent="0.2">
      <c r="D25">
        <v>1966</v>
      </c>
      <c r="F25">
        <v>30</v>
      </c>
      <c r="G25">
        <v>24</v>
      </c>
      <c r="H25">
        <v>20</v>
      </c>
      <c r="I25">
        <v>2</v>
      </c>
      <c r="N25">
        <v>1966</v>
      </c>
    </row>
    <row r="26" spans="3:14" x14ac:dyDescent="0.2">
      <c r="D26">
        <v>1967</v>
      </c>
      <c r="F26">
        <v>25</v>
      </c>
      <c r="G26">
        <v>22</v>
      </c>
      <c r="H26">
        <v>19</v>
      </c>
      <c r="I26">
        <v>0</v>
      </c>
      <c r="N26">
        <v>1967</v>
      </c>
    </row>
    <row r="27" spans="3:14" x14ac:dyDescent="0.2">
      <c r="D27">
        <v>1968</v>
      </c>
      <c r="F27">
        <v>27</v>
      </c>
      <c r="G27">
        <v>23</v>
      </c>
      <c r="H27">
        <v>18</v>
      </c>
      <c r="I27">
        <v>0</v>
      </c>
      <c r="N27">
        <v>1968</v>
      </c>
    </row>
    <row r="28" spans="3:14" x14ac:dyDescent="0.2">
      <c r="D28">
        <v>1969</v>
      </c>
      <c r="N28">
        <v>1969</v>
      </c>
    </row>
    <row r="29" spans="3:14" x14ac:dyDescent="0.2">
      <c r="C29">
        <v>1970</v>
      </c>
      <c r="D29">
        <v>1970</v>
      </c>
      <c r="J29">
        <f>SUM(F29:F38)/10</f>
        <v>19.600000000000001</v>
      </c>
      <c r="K29">
        <f>SUM(G29:G38)/10</f>
        <v>15.3</v>
      </c>
      <c r="L29">
        <f>SUM(H29:H38)/10</f>
        <v>8.4</v>
      </c>
      <c r="N29">
        <v>1970</v>
      </c>
    </row>
    <row r="30" spans="3:14" x14ac:dyDescent="0.2">
      <c r="D30">
        <v>1971</v>
      </c>
      <c r="N30">
        <v>1971</v>
      </c>
    </row>
    <row r="31" spans="3:14" x14ac:dyDescent="0.2">
      <c r="D31">
        <v>1972</v>
      </c>
      <c r="N31">
        <v>1972</v>
      </c>
    </row>
    <row r="32" spans="3:14" x14ac:dyDescent="0.2">
      <c r="D32">
        <v>1973</v>
      </c>
      <c r="F32">
        <v>27</v>
      </c>
      <c r="G32">
        <v>22</v>
      </c>
      <c r="H32">
        <v>16</v>
      </c>
      <c r="I32">
        <v>0</v>
      </c>
      <c r="N32">
        <v>1973</v>
      </c>
    </row>
    <row r="33" spans="3:14" x14ac:dyDescent="0.2">
      <c r="D33">
        <v>1974</v>
      </c>
      <c r="F33">
        <v>28</v>
      </c>
      <c r="G33">
        <v>23</v>
      </c>
      <c r="H33">
        <v>18</v>
      </c>
      <c r="I33">
        <v>0</v>
      </c>
      <c r="N33">
        <v>1974</v>
      </c>
    </row>
    <row r="34" spans="3:14" x14ac:dyDescent="0.2">
      <c r="D34">
        <v>1975</v>
      </c>
      <c r="F34">
        <v>27</v>
      </c>
      <c r="G34">
        <v>23</v>
      </c>
      <c r="H34">
        <v>16</v>
      </c>
      <c r="I34">
        <v>0</v>
      </c>
      <c r="N34">
        <v>1975</v>
      </c>
    </row>
    <row r="35" spans="3:14" x14ac:dyDescent="0.2">
      <c r="D35">
        <v>1976</v>
      </c>
      <c r="F35">
        <v>28</v>
      </c>
      <c r="G35">
        <v>23</v>
      </c>
      <c r="H35">
        <v>20</v>
      </c>
      <c r="I35">
        <v>0</v>
      </c>
      <c r="N35">
        <v>1976</v>
      </c>
    </row>
    <row r="36" spans="3:14" x14ac:dyDescent="0.2">
      <c r="D36" t="s">
        <v>29</v>
      </c>
      <c r="F36">
        <v>31</v>
      </c>
      <c r="G36">
        <v>18</v>
      </c>
      <c r="N36">
        <v>1977</v>
      </c>
    </row>
    <row r="37" spans="3:14" x14ac:dyDescent="0.2">
      <c r="D37">
        <v>1978</v>
      </c>
      <c r="F37">
        <v>28</v>
      </c>
      <c r="G37">
        <v>22</v>
      </c>
      <c r="H37">
        <v>14</v>
      </c>
      <c r="I37">
        <v>0</v>
      </c>
      <c r="N37">
        <v>1978</v>
      </c>
    </row>
    <row r="38" spans="3:14" x14ac:dyDescent="0.2">
      <c r="D38" t="s">
        <v>35</v>
      </c>
      <c r="F38">
        <v>27</v>
      </c>
      <c r="G38">
        <v>22</v>
      </c>
      <c r="N38">
        <v>1979</v>
      </c>
    </row>
    <row r="39" spans="3:14" x14ac:dyDescent="0.2">
      <c r="C39">
        <v>1980</v>
      </c>
      <c r="D39">
        <v>1980</v>
      </c>
      <c r="F39">
        <v>30</v>
      </c>
      <c r="G39">
        <v>23</v>
      </c>
      <c r="H39">
        <v>18</v>
      </c>
      <c r="I39">
        <v>1</v>
      </c>
      <c r="J39">
        <f>SUM(F39:F48)/10</f>
        <v>25.6</v>
      </c>
      <c r="K39">
        <f>SUM(G39:G48)/10</f>
        <v>19.7</v>
      </c>
      <c r="L39">
        <f>SUM(H39:H48)/10</f>
        <v>12.8</v>
      </c>
      <c r="N39">
        <v>1980</v>
      </c>
    </row>
    <row r="40" spans="3:14" x14ac:dyDescent="0.2">
      <c r="D40">
        <v>1981</v>
      </c>
      <c r="F40">
        <v>27</v>
      </c>
      <c r="G40">
        <v>22</v>
      </c>
      <c r="H40">
        <v>15</v>
      </c>
      <c r="N40">
        <v>1981</v>
      </c>
    </row>
    <row r="41" spans="3:14" x14ac:dyDescent="0.2">
      <c r="D41">
        <v>1982</v>
      </c>
      <c r="N41">
        <v>1982</v>
      </c>
    </row>
    <row r="42" spans="3:14" x14ac:dyDescent="0.2">
      <c r="D42" t="s">
        <v>31</v>
      </c>
      <c r="F42">
        <v>28</v>
      </c>
      <c r="G42">
        <v>14</v>
      </c>
      <c r="N42">
        <v>1983</v>
      </c>
    </row>
    <row r="43" spans="3:14" x14ac:dyDescent="0.2">
      <c r="D43">
        <v>1984</v>
      </c>
      <c r="F43">
        <v>28</v>
      </c>
      <c r="G43">
        <v>22</v>
      </c>
      <c r="H43">
        <v>16</v>
      </c>
      <c r="I43">
        <v>0</v>
      </c>
      <c r="N43">
        <v>1984</v>
      </c>
    </row>
    <row r="44" spans="3:14" x14ac:dyDescent="0.2">
      <c r="D44">
        <v>1985</v>
      </c>
      <c r="F44">
        <v>27</v>
      </c>
      <c r="G44">
        <v>23</v>
      </c>
      <c r="H44">
        <v>14</v>
      </c>
      <c r="I44">
        <v>0</v>
      </c>
      <c r="N44">
        <v>1985</v>
      </c>
    </row>
    <row r="45" spans="3:14" x14ac:dyDescent="0.2">
      <c r="D45">
        <v>1986</v>
      </c>
      <c r="F45">
        <v>29</v>
      </c>
      <c r="G45">
        <v>23</v>
      </c>
      <c r="H45">
        <v>15</v>
      </c>
      <c r="I45">
        <v>1</v>
      </c>
      <c r="N45">
        <v>1986</v>
      </c>
    </row>
    <row r="46" spans="3:14" x14ac:dyDescent="0.2">
      <c r="D46">
        <v>1987</v>
      </c>
      <c r="F46">
        <v>29</v>
      </c>
      <c r="G46">
        <v>24</v>
      </c>
      <c r="H46">
        <v>17</v>
      </c>
      <c r="I46">
        <v>3</v>
      </c>
      <c r="N46">
        <v>1987</v>
      </c>
    </row>
    <row r="47" spans="3:14" x14ac:dyDescent="0.2">
      <c r="D47">
        <v>1988</v>
      </c>
      <c r="F47">
        <v>30</v>
      </c>
      <c r="G47">
        <v>24</v>
      </c>
      <c r="H47">
        <v>16</v>
      </c>
      <c r="I47">
        <v>2</v>
      </c>
      <c r="N47">
        <v>1988</v>
      </c>
    </row>
    <row r="48" spans="3:14" x14ac:dyDescent="0.2">
      <c r="D48">
        <v>1989</v>
      </c>
      <c r="F48">
        <v>28</v>
      </c>
      <c r="G48">
        <v>22</v>
      </c>
      <c r="H48">
        <v>17</v>
      </c>
      <c r="I48">
        <v>0</v>
      </c>
      <c r="N48">
        <v>1989</v>
      </c>
    </row>
    <row r="49" spans="3:14" x14ac:dyDescent="0.2">
      <c r="C49">
        <v>1990</v>
      </c>
      <c r="D49">
        <v>1990</v>
      </c>
      <c r="F49">
        <v>28</v>
      </c>
      <c r="G49">
        <v>23</v>
      </c>
      <c r="H49">
        <v>15</v>
      </c>
      <c r="I49">
        <v>0</v>
      </c>
      <c r="J49">
        <f>SUM(F49:F58)/10</f>
        <v>28.9</v>
      </c>
      <c r="K49">
        <f>SUM(G49:G58)/10</f>
        <v>22.6</v>
      </c>
      <c r="L49">
        <f>SUM(H49:H58)/10</f>
        <v>14.9</v>
      </c>
      <c r="N49">
        <v>1990</v>
      </c>
    </row>
    <row r="50" spans="3:14" x14ac:dyDescent="0.2">
      <c r="D50">
        <v>1991</v>
      </c>
      <c r="F50">
        <v>30</v>
      </c>
      <c r="G50">
        <v>24</v>
      </c>
      <c r="H50">
        <v>18</v>
      </c>
      <c r="I50">
        <v>2</v>
      </c>
      <c r="N50">
        <v>1991</v>
      </c>
    </row>
    <row r="51" spans="3:14" x14ac:dyDescent="0.2">
      <c r="D51">
        <v>1992</v>
      </c>
      <c r="F51">
        <v>26</v>
      </c>
      <c r="G51">
        <v>21</v>
      </c>
      <c r="H51">
        <v>14</v>
      </c>
      <c r="I51">
        <v>0</v>
      </c>
      <c r="N51">
        <v>1992</v>
      </c>
    </row>
    <row r="52" spans="3:14" x14ac:dyDescent="0.2">
      <c r="D52">
        <v>1993</v>
      </c>
      <c r="F52">
        <v>30</v>
      </c>
      <c r="G52">
        <v>23</v>
      </c>
      <c r="H52">
        <v>16</v>
      </c>
      <c r="I52">
        <v>3</v>
      </c>
      <c r="N52">
        <v>1993</v>
      </c>
    </row>
    <row r="53" spans="3:14" x14ac:dyDescent="0.2">
      <c r="D53">
        <v>1994</v>
      </c>
      <c r="F53">
        <v>27</v>
      </c>
      <c r="G53">
        <v>24</v>
      </c>
      <c r="H53">
        <v>19</v>
      </c>
      <c r="I53">
        <v>0</v>
      </c>
      <c r="N53">
        <v>1994</v>
      </c>
    </row>
    <row r="54" spans="3:14" x14ac:dyDescent="0.2">
      <c r="D54">
        <v>1995</v>
      </c>
      <c r="F54">
        <v>31</v>
      </c>
      <c r="G54">
        <v>24</v>
      </c>
      <c r="H54">
        <v>18</v>
      </c>
      <c r="I54">
        <v>1</v>
      </c>
      <c r="N54">
        <v>1995</v>
      </c>
    </row>
    <row r="55" spans="3:14" x14ac:dyDescent="0.2">
      <c r="D55">
        <v>1996</v>
      </c>
      <c r="F55">
        <v>26</v>
      </c>
      <c r="G55">
        <v>22</v>
      </c>
      <c r="H55">
        <v>15</v>
      </c>
      <c r="I55">
        <v>0</v>
      </c>
      <c r="N55">
        <v>1996</v>
      </c>
    </row>
    <row r="56" spans="3:14" x14ac:dyDescent="0.2">
      <c r="D56">
        <v>1997</v>
      </c>
      <c r="F56">
        <v>29</v>
      </c>
      <c r="G56">
        <v>24</v>
      </c>
      <c r="H56">
        <v>16</v>
      </c>
      <c r="I56">
        <v>2</v>
      </c>
      <c r="N56">
        <v>1997</v>
      </c>
    </row>
    <row r="57" spans="3:14" x14ac:dyDescent="0.2">
      <c r="D57">
        <v>1998</v>
      </c>
      <c r="F57">
        <v>30</v>
      </c>
      <c r="G57">
        <v>25</v>
      </c>
      <c r="H57">
        <v>18</v>
      </c>
      <c r="I57">
        <v>2</v>
      </c>
      <c r="N57">
        <v>1998</v>
      </c>
    </row>
    <row r="58" spans="3:14" x14ac:dyDescent="0.2">
      <c r="D58">
        <v>1999</v>
      </c>
      <c r="F58">
        <v>32</v>
      </c>
      <c r="G58">
        <v>16</v>
      </c>
      <c r="N58">
        <v>1999</v>
      </c>
    </row>
    <row r="59" spans="3:14" x14ac:dyDescent="0.2">
      <c r="C59">
        <v>2000</v>
      </c>
      <c r="D59">
        <v>2000</v>
      </c>
      <c r="F59">
        <v>26</v>
      </c>
      <c r="G59">
        <v>21</v>
      </c>
      <c r="H59">
        <v>16</v>
      </c>
      <c r="I59">
        <v>0</v>
      </c>
      <c r="J59">
        <f>SUM(F59:F68)/10</f>
        <v>26.7</v>
      </c>
      <c r="K59">
        <f>SUM(G59:G68)/10</f>
        <v>22.3</v>
      </c>
      <c r="L59">
        <f>SUM(H59:H68)/10</f>
        <v>16.2</v>
      </c>
      <c r="N59">
        <v>2000</v>
      </c>
    </row>
    <row r="60" spans="3:14" x14ac:dyDescent="0.2">
      <c r="D60">
        <v>2001</v>
      </c>
      <c r="F60">
        <v>30</v>
      </c>
      <c r="G60">
        <v>23</v>
      </c>
      <c r="H60">
        <v>18</v>
      </c>
      <c r="I60">
        <v>1</v>
      </c>
      <c r="N60">
        <v>2001</v>
      </c>
    </row>
    <row r="61" spans="3:14" x14ac:dyDescent="0.2">
      <c r="D61">
        <v>2002</v>
      </c>
      <c r="F61">
        <v>29</v>
      </c>
      <c r="G61">
        <v>23</v>
      </c>
      <c r="H61">
        <v>18</v>
      </c>
      <c r="I61">
        <v>1</v>
      </c>
      <c r="N61">
        <v>2002</v>
      </c>
    </row>
    <row r="62" spans="3:14" x14ac:dyDescent="0.2">
      <c r="D62">
        <v>2003</v>
      </c>
      <c r="F62">
        <v>26</v>
      </c>
      <c r="G62">
        <v>22</v>
      </c>
      <c r="H62">
        <v>18</v>
      </c>
      <c r="I62">
        <v>0</v>
      </c>
      <c r="N62">
        <v>2003</v>
      </c>
    </row>
    <row r="63" spans="3:14" x14ac:dyDescent="0.2">
      <c r="D63">
        <v>2004</v>
      </c>
      <c r="F63">
        <v>25</v>
      </c>
      <c r="G63">
        <v>20</v>
      </c>
      <c r="H63">
        <v>9</v>
      </c>
      <c r="I63">
        <v>0</v>
      </c>
      <c r="N63">
        <v>2004</v>
      </c>
    </row>
    <row r="64" spans="3:14" x14ac:dyDescent="0.2">
      <c r="D64">
        <v>2005</v>
      </c>
      <c r="F64">
        <v>27</v>
      </c>
      <c r="G64">
        <v>23</v>
      </c>
      <c r="H64">
        <v>17</v>
      </c>
      <c r="I64">
        <v>0</v>
      </c>
      <c r="N64">
        <v>2005</v>
      </c>
    </row>
    <row r="65" spans="3:14" x14ac:dyDescent="0.2">
      <c r="D65">
        <v>2006</v>
      </c>
      <c r="F65">
        <v>27</v>
      </c>
      <c r="G65">
        <v>23</v>
      </c>
      <c r="H65">
        <v>9</v>
      </c>
      <c r="I65">
        <v>0</v>
      </c>
      <c r="N65">
        <v>2006</v>
      </c>
    </row>
    <row r="66" spans="3:14" x14ac:dyDescent="0.2">
      <c r="D66">
        <v>2007</v>
      </c>
      <c r="F66">
        <v>25</v>
      </c>
      <c r="G66">
        <v>22</v>
      </c>
      <c r="H66">
        <v>18</v>
      </c>
      <c r="I66">
        <v>0</v>
      </c>
      <c r="N66">
        <v>2007</v>
      </c>
    </row>
    <row r="67" spans="3:14" x14ac:dyDescent="0.2">
      <c r="D67">
        <v>2008</v>
      </c>
      <c r="F67">
        <v>27</v>
      </c>
      <c r="G67">
        <v>24</v>
      </c>
      <c r="H67">
        <v>21</v>
      </c>
      <c r="I67">
        <v>0</v>
      </c>
      <c r="N67">
        <v>2008</v>
      </c>
    </row>
    <row r="68" spans="3:14" x14ac:dyDescent="0.2">
      <c r="D68">
        <v>2009</v>
      </c>
      <c r="F68">
        <v>25</v>
      </c>
      <c r="G68">
        <v>22</v>
      </c>
      <c r="H68">
        <v>18</v>
      </c>
      <c r="I68">
        <v>0</v>
      </c>
      <c r="N68">
        <v>2009</v>
      </c>
    </row>
    <row r="69" spans="3:14" x14ac:dyDescent="0.2">
      <c r="C69">
        <v>2010</v>
      </c>
      <c r="D69">
        <v>2010</v>
      </c>
      <c r="F69">
        <v>30</v>
      </c>
      <c r="G69">
        <v>25</v>
      </c>
      <c r="H69">
        <v>20</v>
      </c>
      <c r="I69">
        <v>2</v>
      </c>
      <c r="J69">
        <f>SUM(F69:F78)/9</f>
        <v>28.247905939416668</v>
      </c>
      <c r="K69">
        <f>SUM(G69:G78)/9</f>
        <v>24.137437813981467</v>
      </c>
      <c r="L69">
        <f>SUM(H69:H78)/9</f>
        <v>19.3699473646823</v>
      </c>
      <c r="N69">
        <v>2010</v>
      </c>
    </row>
    <row r="70" spans="3:14" x14ac:dyDescent="0.2">
      <c r="D70">
        <v>2011</v>
      </c>
      <c r="F70">
        <v>31</v>
      </c>
      <c r="G70">
        <v>25</v>
      </c>
      <c r="H70">
        <v>21</v>
      </c>
      <c r="I70">
        <v>3</v>
      </c>
      <c r="N70">
        <v>2011</v>
      </c>
    </row>
    <row r="71" spans="3:14" x14ac:dyDescent="0.2">
      <c r="D71">
        <v>2012</v>
      </c>
      <c r="F71">
        <v>27</v>
      </c>
      <c r="G71">
        <v>24</v>
      </c>
      <c r="H71">
        <v>19</v>
      </c>
      <c r="I71">
        <v>0</v>
      </c>
      <c r="N71">
        <v>2012</v>
      </c>
    </row>
    <row r="72" spans="3:14" x14ac:dyDescent="0.2">
      <c r="D72">
        <v>2013</v>
      </c>
      <c r="F72">
        <v>30</v>
      </c>
      <c r="G72">
        <v>25</v>
      </c>
      <c r="H72">
        <v>17</v>
      </c>
      <c r="I72">
        <v>6</v>
      </c>
      <c r="N72">
        <v>2013</v>
      </c>
    </row>
    <row r="73" spans="3:14" x14ac:dyDescent="0.2">
      <c r="D73">
        <v>2014</v>
      </c>
      <c r="F73">
        <v>26</v>
      </c>
      <c r="G73">
        <v>24</v>
      </c>
      <c r="H73">
        <v>21</v>
      </c>
      <c r="I73">
        <v>0</v>
      </c>
      <c r="N73">
        <v>2014</v>
      </c>
    </row>
    <row r="74" spans="3:14" x14ac:dyDescent="0.2">
      <c r="D74">
        <v>2015</v>
      </c>
      <c r="F74">
        <v>28</v>
      </c>
      <c r="G74">
        <v>23</v>
      </c>
      <c r="H74">
        <v>20</v>
      </c>
      <c r="I74">
        <v>0</v>
      </c>
      <c r="N74">
        <v>2015</v>
      </c>
    </row>
    <row r="75" spans="3:14" x14ac:dyDescent="0.2">
      <c r="D75">
        <v>2016</v>
      </c>
      <c r="F75">
        <v>28</v>
      </c>
      <c r="G75">
        <v>24</v>
      </c>
      <c r="H75">
        <v>19</v>
      </c>
      <c r="I75">
        <v>0</v>
      </c>
      <c r="N75">
        <v>2016</v>
      </c>
    </row>
    <row r="76" spans="3:14" x14ac:dyDescent="0.2">
      <c r="D76">
        <v>2017</v>
      </c>
      <c r="F76">
        <v>27</v>
      </c>
      <c r="G76">
        <v>23</v>
      </c>
      <c r="H76">
        <v>17</v>
      </c>
      <c r="I76">
        <v>0</v>
      </c>
      <c r="N76">
        <v>2017</v>
      </c>
    </row>
    <row r="77" spans="3:14" x14ac:dyDescent="0.2">
      <c r="D77">
        <v>2018</v>
      </c>
      <c r="F77">
        <v>27</v>
      </c>
      <c r="G77">
        <v>24</v>
      </c>
      <c r="H77">
        <v>20</v>
      </c>
      <c r="I77">
        <v>0</v>
      </c>
      <c r="N77">
        <v>2018</v>
      </c>
    </row>
    <row r="78" spans="3:14" x14ac:dyDescent="0.2">
      <c r="F78">
        <f>STDEV(F9:F77)/SQRT(64)</f>
        <v>0.23115345474999319</v>
      </c>
      <c r="G78">
        <f>STDEV(G9:G77)/SQRT(64)</f>
        <v>0.23694032583321983</v>
      </c>
      <c r="H78">
        <f>STDEV(H9:H77)/SQRT(60)</f>
        <v>0.32952628214069563</v>
      </c>
    </row>
    <row r="81" spans="4:18" x14ac:dyDescent="0.2">
      <c r="D81" s="4" t="s">
        <v>24</v>
      </c>
      <c r="N81" s="4" t="s">
        <v>24</v>
      </c>
    </row>
    <row r="83" spans="4:18" x14ac:dyDescent="0.2">
      <c r="D83" s="3" t="s">
        <v>25</v>
      </c>
      <c r="F83">
        <f>COUNT(F9:F77)</f>
        <v>64</v>
      </c>
      <c r="G83">
        <f t="shared" ref="G83:H83" si="0">COUNT(G9:G77)</f>
        <v>64</v>
      </c>
      <c r="H83">
        <f t="shared" si="0"/>
        <v>60</v>
      </c>
      <c r="N83" s="3" t="s">
        <v>25</v>
      </c>
      <c r="P83">
        <f t="shared" ref="P83:R83" si="1">COUNT(P9:P77)</f>
        <v>0</v>
      </c>
      <c r="Q83">
        <f t="shared" si="1"/>
        <v>0</v>
      </c>
      <c r="R83">
        <f t="shared" si="1"/>
        <v>0</v>
      </c>
    </row>
    <row r="84" spans="4:18" x14ac:dyDescent="0.2">
      <c r="D84" s="3" t="s">
        <v>5</v>
      </c>
      <c r="F84" s="6">
        <f>AVERAGE(F9:F77)</f>
        <v>27.90625</v>
      </c>
      <c r="G84" s="6">
        <f t="shared" ref="G84:H84" si="2">AVERAGE(G9:G77)</f>
        <v>22.796875</v>
      </c>
      <c r="H84" s="6">
        <f t="shared" si="2"/>
        <v>17.600000000000001</v>
      </c>
      <c r="N84" s="3" t="s">
        <v>5</v>
      </c>
      <c r="P84" s="6" t="e">
        <f>AVERAGE(P9:P77)</f>
        <v>#DIV/0!</v>
      </c>
      <c r="Q84" s="6" t="e">
        <f t="shared" ref="Q84:R84" si="3">AVERAGE(Q9:Q77)</f>
        <v>#DIV/0!</v>
      </c>
      <c r="R84" s="6" t="e">
        <f t="shared" si="3"/>
        <v>#DIV/0!</v>
      </c>
    </row>
    <row r="85" spans="4:18" x14ac:dyDescent="0.2">
      <c r="D85" s="3" t="s">
        <v>26</v>
      </c>
      <c r="F85" s="6">
        <f>STDEV(F9:F77)</f>
        <v>1.8492276379999455</v>
      </c>
      <c r="G85" s="6">
        <f t="shared" ref="G85:H85" si="4">STDEV(G9:G77)</f>
        <v>1.8955226066657587</v>
      </c>
      <c r="H85" s="6">
        <f t="shared" si="4"/>
        <v>2.5524996057371214</v>
      </c>
      <c r="N85" s="3" t="s">
        <v>26</v>
      </c>
      <c r="P85" s="6" t="e">
        <f>STDEV(P9:P77)</f>
        <v>#DIV/0!</v>
      </c>
      <c r="Q85" s="6" t="e">
        <f t="shared" ref="Q85:R85" si="5">STDEV(Q9:Q77)</f>
        <v>#DIV/0!</v>
      </c>
      <c r="R85" s="6" t="e">
        <f t="shared" si="5"/>
        <v>#DIV/0!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5"/>
  <sheetViews>
    <sheetView topLeftCell="A54" workbookViewId="0">
      <selection activeCell="F78" sqref="F78"/>
    </sheetView>
  </sheetViews>
  <sheetFormatPr baseColWidth="10" defaultColWidth="8.83203125" defaultRowHeight="15" x14ac:dyDescent="0.2"/>
  <cols>
    <col min="1" max="1" width="14.1640625" customWidth="1"/>
    <col min="9" max="9" width="27" customWidth="1"/>
    <col min="15" max="15" width="6.5" customWidth="1"/>
    <col min="16" max="16" width="13.5" customWidth="1"/>
    <col min="17" max="17" width="15.5" customWidth="1"/>
    <col min="18" max="18" width="14.33203125" customWidth="1"/>
  </cols>
  <sheetData>
    <row r="1" spans="1:19" x14ac:dyDescent="0.2">
      <c r="A1" t="s">
        <v>0</v>
      </c>
      <c r="E1" t="s">
        <v>14</v>
      </c>
      <c r="F1" t="s">
        <v>22</v>
      </c>
      <c r="J1" t="s">
        <v>10</v>
      </c>
    </row>
    <row r="2" spans="1:19" x14ac:dyDescent="0.2">
      <c r="A2" t="s">
        <v>11</v>
      </c>
    </row>
    <row r="4" spans="1:19" x14ac:dyDescent="0.2">
      <c r="C4" s="4" t="s">
        <v>2</v>
      </c>
      <c r="G4" s="4" t="s">
        <v>8</v>
      </c>
      <c r="Q4" s="4" t="s">
        <v>16</v>
      </c>
    </row>
    <row r="5" spans="1:19" x14ac:dyDescent="0.2">
      <c r="J5" t="s">
        <v>9</v>
      </c>
      <c r="K5" t="s">
        <v>9</v>
      </c>
      <c r="L5" t="s">
        <v>9</v>
      </c>
    </row>
    <row r="6" spans="1:19" x14ac:dyDescent="0.2">
      <c r="F6" s="2" t="s">
        <v>5</v>
      </c>
      <c r="G6" s="2" t="s">
        <v>5</v>
      </c>
      <c r="H6" s="2" t="s">
        <v>5</v>
      </c>
      <c r="I6" t="s">
        <v>23</v>
      </c>
      <c r="J6" s="2" t="s">
        <v>5</v>
      </c>
      <c r="K6" s="2" t="s">
        <v>5</v>
      </c>
      <c r="L6" s="2" t="s">
        <v>5</v>
      </c>
      <c r="M6" s="2"/>
      <c r="P6" s="2" t="s">
        <v>17</v>
      </c>
      <c r="Q6" s="2" t="s">
        <v>12</v>
      </c>
      <c r="R6" s="2" t="s">
        <v>19</v>
      </c>
    </row>
    <row r="7" spans="1:19" x14ac:dyDescent="0.2">
      <c r="C7" t="s">
        <v>1</v>
      </c>
      <c r="D7" t="s">
        <v>3</v>
      </c>
      <c r="F7" s="2" t="s">
        <v>4</v>
      </c>
      <c r="G7" s="2" t="s">
        <v>6</v>
      </c>
      <c r="H7" s="2" t="s">
        <v>7</v>
      </c>
      <c r="I7" s="2" t="s">
        <v>34</v>
      </c>
      <c r="J7" s="2" t="s">
        <v>4</v>
      </c>
      <c r="K7" s="2" t="s">
        <v>6</v>
      </c>
      <c r="L7" s="2" t="s">
        <v>7</v>
      </c>
      <c r="M7" s="2"/>
      <c r="N7" t="s">
        <v>3</v>
      </c>
      <c r="P7" s="2" t="s">
        <v>27</v>
      </c>
      <c r="Q7" s="2" t="s">
        <v>18</v>
      </c>
      <c r="R7" s="2" t="s">
        <v>28</v>
      </c>
    </row>
    <row r="8" spans="1:19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">
      <c r="C9">
        <v>1950</v>
      </c>
      <c r="D9">
        <v>1950</v>
      </c>
      <c r="F9">
        <v>21</v>
      </c>
      <c r="G9">
        <v>15</v>
      </c>
      <c r="H9">
        <v>6</v>
      </c>
      <c r="I9">
        <v>2</v>
      </c>
      <c r="J9">
        <f>SUM(F9:F18)/10</f>
        <v>21.3</v>
      </c>
      <c r="K9">
        <f>SUM(G9:G18)/10</f>
        <v>14.2</v>
      </c>
      <c r="L9">
        <f>SUM(H9:H18)/10</f>
        <v>6.6</v>
      </c>
      <c r="N9">
        <v>1950</v>
      </c>
    </row>
    <row r="10" spans="1:19" x14ac:dyDescent="0.2">
      <c r="D10">
        <v>1951</v>
      </c>
      <c r="F10">
        <v>22</v>
      </c>
      <c r="G10">
        <v>14</v>
      </c>
      <c r="H10">
        <v>7</v>
      </c>
      <c r="I10">
        <v>2</v>
      </c>
      <c r="N10">
        <v>1951</v>
      </c>
    </row>
    <row r="11" spans="1:19" x14ac:dyDescent="0.2">
      <c r="D11">
        <v>1952</v>
      </c>
      <c r="F11">
        <v>22</v>
      </c>
      <c r="G11">
        <v>14</v>
      </c>
      <c r="H11">
        <v>3</v>
      </c>
      <c r="I11">
        <v>2</v>
      </c>
      <c r="N11">
        <v>1952</v>
      </c>
    </row>
    <row r="12" spans="1:19" x14ac:dyDescent="0.2">
      <c r="D12">
        <v>1953</v>
      </c>
      <c r="F12">
        <v>22</v>
      </c>
      <c r="G12">
        <v>15</v>
      </c>
      <c r="H12">
        <v>10</v>
      </c>
      <c r="I12">
        <v>1</v>
      </c>
      <c r="N12">
        <v>1953</v>
      </c>
    </row>
    <row r="13" spans="1:19" x14ac:dyDescent="0.2">
      <c r="D13">
        <v>1954</v>
      </c>
      <c r="F13">
        <v>23</v>
      </c>
      <c r="G13">
        <v>16</v>
      </c>
      <c r="H13">
        <v>8</v>
      </c>
      <c r="I13">
        <v>9</v>
      </c>
      <c r="N13">
        <v>1954</v>
      </c>
    </row>
    <row r="14" spans="1:19" x14ac:dyDescent="0.2">
      <c r="D14">
        <v>1955</v>
      </c>
      <c r="F14">
        <v>21</v>
      </c>
      <c r="G14">
        <v>15</v>
      </c>
      <c r="H14">
        <v>8</v>
      </c>
      <c r="I14">
        <v>3</v>
      </c>
      <c r="N14">
        <v>1955</v>
      </c>
    </row>
    <row r="15" spans="1:19" x14ac:dyDescent="0.2">
      <c r="D15">
        <v>1956</v>
      </c>
      <c r="F15">
        <v>19</v>
      </c>
      <c r="G15">
        <v>14</v>
      </c>
      <c r="H15">
        <v>9</v>
      </c>
      <c r="I15">
        <v>0</v>
      </c>
      <c r="N15">
        <v>1956</v>
      </c>
    </row>
    <row r="16" spans="1:19" x14ac:dyDescent="0.2">
      <c r="D16">
        <v>1957</v>
      </c>
      <c r="F16">
        <v>20</v>
      </c>
      <c r="G16">
        <v>13</v>
      </c>
      <c r="H16">
        <v>3</v>
      </c>
      <c r="I16">
        <v>0</v>
      </c>
      <c r="N16">
        <v>1957</v>
      </c>
    </row>
    <row r="17" spans="3:14" x14ac:dyDescent="0.2">
      <c r="D17">
        <v>1958</v>
      </c>
      <c r="F17">
        <v>19</v>
      </c>
      <c r="G17">
        <v>12</v>
      </c>
      <c r="H17">
        <v>6</v>
      </c>
      <c r="I17">
        <v>0</v>
      </c>
      <c r="N17">
        <v>1958</v>
      </c>
    </row>
    <row r="18" spans="3:14" x14ac:dyDescent="0.2">
      <c r="D18">
        <v>1959</v>
      </c>
      <c r="F18">
        <v>24</v>
      </c>
      <c r="G18">
        <v>14</v>
      </c>
      <c r="H18">
        <v>6</v>
      </c>
      <c r="I18">
        <v>4</v>
      </c>
      <c r="N18">
        <v>1959</v>
      </c>
    </row>
    <row r="19" spans="3:14" x14ac:dyDescent="0.2">
      <c r="C19">
        <v>1960</v>
      </c>
      <c r="D19">
        <v>1960</v>
      </c>
      <c r="F19">
        <v>20</v>
      </c>
      <c r="G19">
        <v>14</v>
      </c>
      <c r="H19">
        <v>7</v>
      </c>
      <c r="I19">
        <v>0</v>
      </c>
      <c r="J19">
        <f>SUM(F19:F28)/10</f>
        <v>17.8</v>
      </c>
      <c r="K19">
        <f>SUM(G19:G28)/10</f>
        <v>12.1</v>
      </c>
      <c r="L19">
        <f>SUM(H19:H28)/10</f>
        <v>4.9000000000000004</v>
      </c>
      <c r="N19">
        <v>1960</v>
      </c>
    </row>
    <row r="20" spans="3:14" x14ac:dyDescent="0.2">
      <c r="D20">
        <v>1961</v>
      </c>
      <c r="F20">
        <v>22</v>
      </c>
      <c r="G20">
        <v>15</v>
      </c>
      <c r="H20">
        <v>7</v>
      </c>
      <c r="I20">
        <v>1</v>
      </c>
      <c r="N20">
        <v>1961</v>
      </c>
    </row>
    <row r="21" spans="3:14" x14ac:dyDescent="0.2">
      <c r="D21">
        <v>1962</v>
      </c>
      <c r="F21">
        <v>20</v>
      </c>
      <c r="G21">
        <v>13</v>
      </c>
      <c r="H21">
        <v>2</v>
      </c>
      <c r="I21">
        <v>0</v>
      </c>
      <c r="N21">
        <v>1962</v>
      </c>
    </row>
    <row r="22" spans="3:14" x14ac:dyDescent="0.2">
      <c r="D22">
        <v>1963</v>
      </c>
      <c r="F22">
        <v>20</v>
      </c>
      <c r="G22">
        <v>15</v>
      </c>
      <c r="H22">
        <v>7</v>
      </c>
      <c r="I22">
        <v>0</v>
      </c>
      <c r="N22">
        <v>1963</v>
      </c>
    </row>
    <row r="23" spans="3:14" x14ac:dyDescent="0.2">
      <c r="D23">
        <v>1964</v>
      </c>
      <c r="F23">
        <v>18</v>
      </c>
      <c r="G23">
        <v>13</v>
      </c>
      <c r="H23">
        <v>7</v>
      </c>
      <c r="I23">
        <v>0</v>
      </c>
      <c r="N23">
        <v>1964</v>
      </c>
    </row>
    <row r="24" spans="3:14" x14ac:dyDescent="0.2">
      <c r="D24">
        <v>1965</v>
      </c>
      <c r="F24">
        <v>19</v>
      </c>
      <c r="G24">
        <v>13</v>
      </c>
      <c r="H24">
        <v>4</v>
      </c>
      <c r="I24">
        <v>0</v>
      </c>
      <c r="N24">
        <v>1965</v>
      </c>
    </row>
    <row r="25" spans="3:14" x14ac:dyDescent="0.2">
      <c r="D25">
        <v>1966</v>
      </c>
      <c r="F25">
        <v>17</v>
      </c>
      <c r="G25">
        <v>11</v>
      </c>
      <c r="H25">
        <v>3</v>
      </c>
      <c r="I25">
        <v>0</v>
      </c>
      <c r="N25">
        <v>1966</v>
      </c>
    </row>
    <row r="26" spans="3:14" x14ac:dyDescent="0.2">
      <c r="D26">
        <v>1967</v>
      </c>
      <c r="F26">
        <v>21</v>
      </c>
      <c r="G26">
        <v>13</v>
      </c>
      <c r="H26">
        <v>6</v>
      </c>
      <c r="I26">
        <v>1</v>
      </c>
      <c r="N26">
        <v>1967</v>
      </c>
    </row>
    <row r="27" spans="3:14" x14ac:dyDescent="0.2">
      <c r="D27">
        <v>1968</v>
      </c>
      <c r="F27">
        <v>21</v>
      </c>
      <c r="G27">
        <v>14</v>
      </c>
      <c r="H27">
        <v>6</v>
      </c>
      <c r="I27">
        <v>1</v>
      </c>
      <c r="N27">
        <v>1968</v>
      </c>
    </row>
    <row r="28" spans="3:14" x14ac:dyDescent="0.2">
      <c r="D28">
        <v>1969</v>
      </c>
      <c r="N28">
        <v>1969</v>
      </c>
    </row>
    <row r="29" spans="3:14" x14ac:dyDescent="0.2">
      <c r="C29">
        <v>1970</v>
      </c>
      <c r="D29">
        <v>1970</v>
      </c>
      <c r="J29">
        <f>SUM(F29:F38)/10</f>
        <v>13.4</v>
      </c>
      <c r="K29">
        <f>SUM(G29:G38)/10</f>
        <v>8.6999999999999993</v>
      </c>
      <c r="L29">
        <f>SUM(H29:H38)/10</f>
        <v>2.9</v>
      </c>
      <c r="N29">
        <v>1970</v>
      </c>
    </row>
    <row r="30" spans="3:14" x14ac:dyDescent="0.2">
      <c r="D30">
        <v>1971</v>
      </c>
      <c r="N30">
        <v>1971</v>
      </c>
    </row>
    <row r="31" spans="3:14" x14ac:dyDescent="0.2">
      <c r="D31">
        <v>1972</v>
      </c>
      <c r="N31">
        <v>1972</v>
      </c>
    </row>
    <row r="32" spans="3:14" x14ac:dyDescent="0.2">
      <c r="D32">
        <v>1973</v>
      </c>
      <c r="F32">
        <v>19</v>
      </c>
      <c r="G32">
        <v>12</v>
      </c>
      <c r="I32">
        <v>0</v>
      </c>
      <c r="N32">
        <v>1973</v>
      </c>
    </row>
    <row r="33" spans="3:14" x14ac:dyDescent="0.2">
      <c r="D33">
        <v>1974</v>
      </c>
      <c r="F33">
        <v>17</v>
      </c>
      <c r="G33">
        <v>12</v>
      </c>
      <c r="H33">
        <v>4</v>
      </c>
      <c r="I33">
        <v>0</v>
      </c>
      <c r="N33">
        <v>1974</v>
      </c>
    </row>
    <row r="34" spans="3:14" x14ac:dyDescent="0.2">
      <c r="D34">
        <v>1975</v>
      </c>
      <c r="F34">
        <v>20</v>
      </c>
      <c r="G34">
        <v>14</v>
      </c>
      <c r="H34">
        <v>6</v>
      </c>
      <c r="I34">
        <v>0</v>
      </c>
      <c r="N34">
        <v>1975</v>
      </c>
    </row>
    <row r="35" spans="3:14" x14ac:dyDescent="0.2">
      <c r="D35">
        <v>1976</v>
      </c>
      <c r="F35">
        <v>18</v>
      </c>
      <c r="G35">
        <v>11</v>
      </c>
      <c r="H35">
        <v>2</v>
      </c>
      <c r="I35">
        <v>0</v>
      </c>
      <c r="N35">
        <v>1976</v>
      </c>
    </row>
    <row r="36" spans="3:14" x14ac:dyDescent="0.2">
      <c r="D36">
        <v>1977</v>
      </c>
      <c r="F36">
        <v>21</v>
      </c>
      <c r="G36">
        <v>14</v>
      </c>
      <c r="H36">
        <v>9</v>
      </c>
      <c r="I36">
        <v>1</v>
      </c>
      <c r="N36">
        <v>1977</v>
      </c>
    </row>
    <row r="37" spans="3:14" x14ac:dyDescent="0.2">
      <c r="D37">
        <v>1978</v>
      </c>
      <c r="F37">
        <v>19</v>
      </c>
      <c r="G37">
        <v>12</v>
      </c>
      <c r="H37">
        <v>7</v>
      </c>
      <c r="I37">
        <v>0</v>
      </c>
      <c r="N37">
        <v>1978</v>
      </c>
    </row>
    <row r="38" spans="3:14" x14ac:dyDescent="0.2">
      <c r="D38">
        <v>1979</v>
      </c>
      <c r="F38">
        <v>20</v>
      </c>
      <c r="G38">
        <v>12</v>
      </c>
      <c r="H38">
        <v>1</v>
      </c>
      <c r="I38">
        <v>0</v>
      </c>
      <c r="N38">
        <v>1979</v>
      </c>
    </row>
    <row r="39" spans="3:14" x14ac:dyDescent="0.2">
      <c r="C39">
        <v>1980</v>
      </c>
      <c r="D39">
        <v>1980</v>
      </c>
      <c r="F39">
        <v>18</v>
      </c>
      <c r="G39">
        <v>12</v>
      </c>
      <c r="H39">
        <v>6</v>
      </c>
      <c r="I39">
        <v>0</v>
      </c>
      <c r="J39">
        <f>SUM(F39:F48)/10</f>
        <v>17.100000000000001</v>
      </c>
      <c r="K39">
        <f>SUM(G39:G48)/10</f>
        <v>11.1</v>
      </c>
      <c r="L39">
        <f>SUM(H39:H48)/10</f>
        <v>5.4</v>
      </c>
      <c r="N39">
        <v>1980</v>
      </c>
    </row>
    <row r="40" spans="3:14" x14ac:dyDescent="0.2">
      <c r="D40">
        <v>1981</v>
      </c>
      <c r="F40">
        <v>13</v>
      </c>
      <c r="G40">
        <v>9</v>
      </c>
      <c r="H40">
        <v>5</v>
      </c>
      <c r="I40">
        <v>0</v>
      </c>
      <c r="N40">
        <v>1981</v>
      </c>
    </row>
    <row r="41" spans="3:14" x14ac:dyDescent="0.2">
      <c r="D41">
        <v>1982</v>
      </c>
      <c r="N41">
        <v>1982</v>
      </c>
    </row>
    <row r="42" spans="3:14" x14ac:dyDescent="0.2">
      <c r="D42">
        <v>1983</v>
      </c>
      <c r="F42">
        <v>22</v>
      </c>
      <c r="G42">
        <v>13</v>
      </c>
      <c r="H42">
        <v>6</v>
      </c>
      <c r="I42">
        <v>1</v>
      </c>
      <c r="N42">
        <v>1983</v>
      </c>
    </row>
    <row r="43" spans="3:14" x14ac:dyDescent="0.2">
      <c r="D43">
        <v>1984</v>
      </c>
      <c r="F43">
        <v>20</v>
      </c>
      <c r="G43">
        <v>14</v>
      </c>
      <c r="H43">
        <v>7</v>
      </c>
      <c r="I43">
        <v>0</v>
      </c>
      <c r="N43">
        <v>1984</v>
      </c>
    </row>
    <row r="44" spans="3:14" x14ac:dyDescent="0.2">
      <c r="D44">
        <v>1985</v>
      </c>
      <c r="F44">
        <v>20</v>
      </c>
      <c r="G44">
        <v>14</v>
      </c>
      <c r="H44">
        <v>7</v>
      </c>
      <c r="I44">
        <v>0</v>
      </c>
      <c r="N44">
        <v>1985</v>
      </c>
    </row>
    <row r="45" spans="3:14" x14ac:dyDescent="0.2">
      <c r="D45">
        <v>1986</v>
      </c>
      <c r="F45">
        <v>24</v>
      </c>
      <c r="G45">
        <v>13</v>
      </c>
      <c r="H45">
        <v>6</v>
      </c>
      <c r="I45">
        <v>2</v>
      </c>
      <c r="N45">
        <v>1986</v>
      </c>
    </row>
    <row r="46" spans="3:14" x14ac:dyDescent="0.2">
      <c r="D46">
        <v>1987</v>
      </c>
      <c r="F46">
        <v>17</v>
      </c>
      <c r="G46">
        <v>12</v>
      </c>
      <c r="H46">
        <v>6</v>
      </c>
      <c r="I46">
        <v>0</v>
      </c>
      <c r="N46">
        <v>1987</v>
      </c>
    </row>
    <row r="47" spans="3:14" x14ac:dyDescent="0.2">
      <c r="D47">
        <v>1988</v>
      </c>
      <c r="F47">
        <v>20</v>
      </c>
      <c r="G47">
        <v>11</v>
      </c>
      <c r="H47">
        <v>5</v>
      </c>
      <c r="I47">
        <v>0</v>
      </c>
      <c r="N47">
        <v>1988</v>
      </c>
    </row>
    <row r="48" spans="3:14" x14ac:dyDescent="0.2">
      <c r="D48">
        <v>1989</v>
      </c>
      <c r="F48">
        <v>17</v>
      </c>
      <c r="G48">
        <v>13</v>
      </c>
      <c r="H48">
        <v>6</v>
      </c>
      <c r="I48">
        <v>0</v>
      </c>
      <c r="N48">
        <v>1989</v>
      </c>
    </row>
    <row r="49" spans="3:14" x14ac:dyDescent="0.2">
      <c r="C49">
        <v>1990</v>
      </c>
      <c r="D49">
        <v>1990</v>
      </c>
      <c r="F49">
        <v>23</v>
      </c>
      <c r="G49">
        <v>16</v>
      </c>
      <c r="H49">
        <v>6</v>
      </c>
      <c r="I49">
        <v>4</v>
      </c>
      <c r="J49">
        <f>SUM(F49:F58)/10</f>
        <v>20.100000000000001</v>
      </c>
      <c r="K49">
        <f>SUM(G49:G58)/10</f>
        <v>13.3</v>
      </c>
      <c r="L49">
        <f>SUM(H49:H58)/10</f>
        <v>7.3</v>
      </c>
      <c r="N49">
        <v>1990</v>
      </c>
    </row>
    <row r="50" spans="3:14" x14ac:dyDescent="0.2">
      <c r="D50">
        <v>1991</v>
      </c>
      <c r="F50">
        <v>21</v>
      </c>
      <c r="G50">
        <v>14</v>
      </c>
      <c r="H50">
        <v>8</v>
      </c>
      <c r="I50">
        <v>1</v>
      </c>
      <c r="N50">
        <v>1991</v>
      </c>
    </row>
    <row r="51" spans="3:14" x14ac:dyDescent="0.2">
      <c r="D51">
        <v>1992</v>
      </c>
      <c r="F51">
        <v>18</v>
      </c>
      <c r="G51">
        <v>12</v>
      </c>
      <c r="H51">
        <v>6</v>
      </c>
      <c r="I51">
        <v>0</v>
      </c>
      <c r="N51">
        <v>1992</v>
      </c>
    </row>
    <row r="52" spans="3:14" x14ac:dyDescent="0.2">
      <c r="D52">
        <v>1993</v>
      </c>
      <c r="F52">
        <v>18</v>
      </c>
      <c r="G52">
        <v>11</v>
      </c>
      <c r="H52">
        <v>5</v>
      </c>
      <c r="I52">
        <v>0</v>
      </c>
      <c r="N52">
        <v>1993</v>
      </c>
    </row>
    <row r="53" spans="3:14" x14ac:dyDescent="0.2">
      <c r="D53">
        <v>1994</v>
      </c>
      <c r="F53">
        <v>19</v>
      </c>
      <c r="G53">
        <v>13</v>
      </c>
      <c r="H53">
        <v>9</v>
      </c>
      <c r="I53">
        <v>0</v>
      </c>
      <c r="N53">
        <v>1994</v>
      </c>
    </row>
    <row r="54" spans="3:14" x14ac:dyDescent="0.2">
      <c r="D54">
        <v>1995</v>
      </c>
      <c r="F54">
        <v>21</v>
      </c>
      <c r="G54">
        <v>14</v>
      </c>
      <c r="H54">
        <v>8</v>
      </c>
      <c r="I54">
        <v>1</v>
      </c>
      <c r="N54">
        <v>1995</v>
      </c>
    </row>
    <row r="55" spans="3:14" x14ac:dyDescent="0.2">
      <c r="D55">
        <v>1996</v>
      </c>
      <c r="F55">
        <v>19</v>
      </c>
      <c r="G55">
        <v>13</v>
      </c>
      <c r="H55">
        <v>8</v>
      </c>
      <c r="I55">
        <v>0</v>
      </c>
      <c r="N55">
        <v>1996</v>
      </c>
    </row>
    <row r="56" spans="3:14" x14ac:dyDescent="0.2">
      <c r="D56">
        <v>1997</v>
      </c>
      <c r="F56">
        <v>23</v>
      </c>
      <c r="G56">
        <v>13</v>
      </c>
      <c r="H56">
        <v>6</v>
      </c>
      <c r="I56">
        <v>2</v>
      </c>
      <c r="N56">
        <v>1997</v>
      </c>
    </row>
    <row r="57" spans="3:14" x14ac:dyDescent="0.2">
      <c r="D57">
        <v>1998</v>
      </c>
      <c r="F57">
        <v>20</v>
      </c>
      <c r="G57">
        <v>14</v>
      </c>
      <c r="H57">
        <v>10</v>
      </c>
      <c r="I57">
        <v>0</v>
      </c>
      <c r="N57">
        <v>1998</v>
      </c>
    </row>
    <row r="58" spans="3:14" x14ac:dyDescent="0.2">
      <c r="D58">
        <v>1999</v>
      </c>
      <c r="F58">
        <v>19</v>
      </c>
      <c r="G58">
        <v>13</v>
      </c>
      <c r="H58">
        <v>7</v>
      </c>
      <c r="I58">
        <v>0</v>
      </c>
      <c r="N58">
        <v>1999</v>
      </c>
    </row>
    <row r="59" spans="3:14" x14ac:dyDescent="0.2">
      <c r="C59">
        <v>2000</v>
      </c>
      <c r="D59">
        <v>2000</v>
      </c>
      <c r="F59">
        <v>20</v>
      </c>
      <c r="G59">
        <v>13</v>
      </c>
      <c r="H59">
        <v>2</v>
      </c>
      <c r="I59">
        <v>0</v>
      </c>
      <c r="J59">
        <f>SUM(F59:F68)/10</f>
        <v>19.899999999999999</v>
      </c>
      <c r="K59">
        <f>SUM(G59:G68)/10</f>
        <v>12.7</v>
      </c>
      <c r="L59">
        <f>SUM(H59:H68)/10</f>
        <v>4.9000000000000004</v>
      </c>
      <c r="N59">
        <v>2000</v>
      </c>
    </row>
    <row r="60" spans="3:14" x14ac:dyDescent="0.2">
      <c r="D60">
        <v>2001</v>
      </c>
      <c r="F60">
        <v>21</v>
      </c>
      <c r="G60">
        <v>14</v>
      </c>
      <c r="H60">
        <v>6</v>
      </c>
      <c r="I60">
        <v>2</v>
      </c>
      <c r="N60">
        <v>2001</v>
      </c>
    </row>
    <row r="61" spans="3:14" x14ac:dyDescent="0.2">
      <c r="D61">
        <v>2002</v>
      </c>
      <c r="F61">
        <v>23</v>
      </c>
      <c r="G61">
        <v>12</v>
      </c>
      <c r="H61">
        <v>4</v>
      </c>
      <c r="I61">
        <v>2</v>
      </c>
      <c r="N61">
        <v>2002</v>
      </c>
    </row>
    <row r="62" spans="3:14" x14ac:dyDescent="0.2">
      <c r="D62">
        <v>2003</v>
      </c>
      <c r="F62">
        <v>16</v>
      </c>
      <c r="G62">
        <v>11</v>
      </c>
      <c r="H62">
        <v>4</v>
      </c>
      <c r="I62">
        <v>0</v>
      </c>
      <c r="N62">
        <v>2003</v>
      </c>
    </row>
    <row r="63" spans="3:14" x14ac:dyDescent="0.2">
      <c r="D63">
        <v>2004</v>
      </c>
      <c r="F63">
        <v>18</v>
      </c>
      <c r="G63">
        <v>12</v>
      </c>
      <c r="H63">
        <v>7</v>
      </c>
      <c r="I63">
        <v>0</v>
      </c>
      <c r="N63">
        <v>2004</v>
      </c>
    </row>
    <row r="64" spans="3:14" x14ac:dyDescent="0.2">
      <c r="D64">
        <v>2005</v>
      </c>
      <c r="F64">
        <v>23</v>
      </c>
      <c r="G64">
        <v>13</v>
      </c>
      <c r="H64">
        <v>5</v>
      </c>
      <c r="I64">
        <v>2</v>
      </c>
      <c r="N64">
        <v>2005</v>
      </c>
    </row>
    <row r="65" spans="3:14" x14ac:dyDescent="0.2">
      <c r="D65">
        <v>2006</v>
      </c>
      <c r="F65">
        <v>18</v>
      </c>
      <c r="G65">
        <v>12</v>
      </c>
      <c r="H65">
        <v>5</v>
      </c>
      <c r="I65">
        <v>0</v>
      </c>
      <c r="N65">
        <v>2006</v>
      </c>
    </row>
    <row r="66" spans="3:14" x14ac:dyDescent="0.2">
      <c r="D66">
        <v>2007</v>
      </c>
      <c r="F66">
        <v>22</v>
      </c>
      <c r="G66">
        <v>16</v>
      </c>
      <c r="H66">
        <v>6</v>
      </c>
      <c r="I66">
        <v>4</v>
      </c>
      <c r="N66">
        <v>2007</v>
      </c>
    </row>
    <row r="67" spans="3:14" x14ac:dyDescent="0.2">
      <c r="D67">
        <v>2008</v>
      </c>
      <c r="F67">
        <v>19</v>
      </c>
      <c r="G67">
        <v>12</v>
      </c>
      <c r="H67">
        <v>6</v>
      </c>
      <c r="I67">
        <v>0</v>
      </c>
      <c r="N67">
        <v>2008</v>
      </c>
    </row>
    <row r="68" spans="3:14" x14ac:dyDescent="0.2">
      <c r="D68">
        <v>2009</v>
      </c>
      <c r="F68">
        <v>19</v>
      </c>
      <c r="G68">
        <v>12</v>
      </c>
      <c r="H68">
        <v>4</v>
      </c>
      <c r="I68">
        <v>0</v>
      </c>
      <c r="N68">
        <v>2009</v>
      </c>
    </row>
    <row r="69" spans="3:14" x14ac:dyDescent="0.2">
      <c r="C69">
        <v>2010</v>
      </c>
      <c r="D69">
        <v>2010</v>
      </c>
      <c r="F69">
        <v>20</v>
      </c>
      <c r="G69">
        <v>14</v>
      </c>
      <c r="H69">
        <v>9</v>
      </c>
      <c r="I69">
        <v>0</v>
      </c>
      <c r="J69">
        <f>SUM(F69:F78)/9</f>
        <v>21.029207547513291</v>
      </c>
      <c r="K69">
        <f>SUM(G69:G78)/9</f>
        <v>13.908447753234888</v>
      </c>
      <c r="L69">
        <f>SUM(H69:H78)/9</f>
        <v>6.2516472125449187</v>
      </c>
      <c r="N69">
        <v>2010</v>
      </c>
    </row>
    <row r="70" spans="3:14" x14ac:dyDescent="0.2">
      <c r="D70">
        <v>2011</v>
      </c>
      <c r="F70">
        <v>19</v>
      </c>
      <c r="G70">
        <v>13</v>
      </c>
      <c r="H70">
        <v>2</v>
      </c>
      <c r="I70">
        <v>0</v>
      </c>
      <c r="N70">
        <v>2011</v>
      </c>
    </row>
    <row r="71" spans="3:14" x14ac:dyDescent="0.2">
      <c r="D71">
        <v>2012</v>
      </c>
      <c r="F71">
        <v>20</v>
      </c>
      <c r="G71">
        <v>14</v>
      </c>
      <c r="H71">
        <v>4</v>
      </c>
      <c r="I71">
        <v>0</v>
      </c>
      <c r="N71">
        <v>2012</v>
      </c>
    </row>
    <row r="72" spans="3:14" x14ac:dyDescent="0.2">
      <c r="D72">
        <v>2013</v>
      </c>
      <c r="F72">
        <v>21</v>
      </c>
      <c r="G72">
        <v>14</v>
      </c>
      <c r="H72">
        <v>7</v>
      </c>
      <c r="I72">
        <v>1</v>
      </c>
      <c r="N72">
        <v>2013</v>
      </c>
    </row>
    <row r="73" spans="3:14" x14ac:dyDescent="0.2">
      <c r="D73">
        <v>2014</v>
      </c>
      <c r="F73">
        <v>23</v>
      </c>
      <c r="G73">
        <v>15</v>
      </c>
      <c r="H73">
        <v>9</v>
      </c>
      <c r="I73">
        <v>3</v>
      </c>
      <c r="N73">
        <v>2014</v>
      </c>
    </row>
    <row r="74" spans="3:14" x14ac:dyDescent="0.2">
      <c r="D74">
        <v>2015</v>
      </c>
      <c r="F74">
        <v>19</v>
      </c>
      <c r="G74">
        <v>12</v>
      </c>
      <c r="H74">
        <v>4</v>
      </c>
      <c r="I74">
        <v>0</v>
      </c>
      <c r="N74">
        <v>2015</v>
      </c>
    </row>
    <row r="75" spans="3:14" x14ac:dyDescent="0.2">
      <c r="D75">
        <v>2016</v>
      </c>
      <c r="F75">
        <v>21</v>
      </c>
      <c r="G75">
        <v>13</v>
      </c>
      <c r="H75">
        <v>5</v>
      </c>
      <c r="I75">
        <v>1</v>
      </c>
      <c r="N75">
        <v>2016</v>
      </c>
    </row>
    <row r="76" spans="3:14" x14ac:dyDescent="0.2">
      <c r="D76">
        <v>2017</v>
      </c>
      <c r="F76">
        <v>23</v>
      </c>
      <c r="G76">
        <v>16</v>
      </c>
      <c r="H76">
        <v>10</v>
      </c>
      <c r="I76">
        <v>5</v>
      </c>
      <c r="N76">
        <v>2017</v>
      </c>
    </row>
    <row r="77" spans="3:14" x14ac:dyDescent="0.2">
      <c r="D77">
        <v>2018</v>
      </c>
      <c r="F77">
        <v>23</v>
      </c>
      <c r="G77">
        <v>14</v>
      </c>
      <c r="H77">
        <v>6</v>
      </c>
      <c r="I77">
        <v>5</v>
      </c>
      <c r="N77">
        <v>2018</v>
      </c>
    </row>
    <row r="78" spans="3:14" x14ac:dyDescent="0.2">
      <c r="F78">
        <f>STDEV(F9:F77)/SQRT(64)</f>
        <v>0.26286792761961614</v>
      </c>
      <c r="G78">
        <f>STDEV(G9:G77)/SQRT(64)</f>
        <v>0.17602977911399148</v>
      </c>
      <c r="H78">
        <f>STDEV(H9:H77)/SQRT(63)</f>
        <v>0.26482491290426907</v>
      </c>
    </row>
    <row r="81" spans="4:18" x14ac:dyDescent="0.2">
      <c r="D81" s="4" t="s">
        <v>24</v>
      </c>
      <c r="N81" s="4" t="s">
        <v>24</v>
      </c>
    </row>
    <row r="83" spans="4:18" x14ac:dyDescent="0.2">
      <c r="D83" s="3" t="s">
        <v>25</v>
      </c>
      <c r="F83">
        <f>COUNT(F9:F77)</f>
        <v>64</v>
      </c>
      <c r="G83">
        <f t="shared" ref="G83:H83" si="0">COUNT(G9:G77)</f>
        <v>64</v>
      </c>
      <c r="H83">
        <f t="shared" si="0"/>
        <v>63</v>
      </c>
      <c r="N83" s="3" t="s">
        <v>25</v>
      </c>
      <c r="P83">
        <f t="shared" ref="P83:R83" si="1">COUNT(P9:P77)</f>
        <v>0</v>
      </c>
      <c r="Q83">
        <f t="shared" si="1"/>
        <v>0</v>
      </c>
      <c r="R83">
        <f t="shared" si="1"/>
        <v>0</v>
      </c>
    </row>
    <row r="84" spans="4:18" x14ac:dyDescent="0.2">
      <c r="D84" s="3" t="s">
        <v>5</v>
      </c>
      <c r="F84" s="6">
        <f>AVERAGE(F9:F77)</f>
        <v>20.078125</v>
      </c>
      <c r="G84" s="6">
        <f t="shared" ref="G84:H84" si="2">AVERAGE(G9:G77)</f>
        <v>13.21875</v>
      </c>
      <c r="H84" s="6">
        <f t="shared" si="2"/>
        <v>5.9682539682539684</v>
      </c>
      <c r="N84" s="3" t="s">
        <v>5</v>
      </c>
      <c r="P84" s="6" t="e">
        <f>AVERAGE(P9:P77)</f>
        <v>#DIV/0!</v>
      </c>
      <c r="Q84" s="6" t="e">
        <f t="shared" ref="Q84:R84" si="3">AVERAGE(Q9:Q77)</f>
        <v>#DIV/0!</v>
      </c>
      <c r="R84" s="6" t="e">
        <f t="shared" si="3"/>
        <v>#DIV/0!</v>
      </c>
    </row>
    <row r="85" spans="4:18" x14ac:dyDescent="0.2">
      <c r="D85" s="3" t="s">
        <v>26</v>
      </c>
      <c r="F85" s="6">
        <f>STDEV(F9:F77)</f>
        <v>2.1029434209569291</v>
      </c>
      <c r="G85" s="6">
        <f t="shared" ref="G85:H85" si="4">STDEV(G9:G77)</f>
        <v>1.4082382329119318</v>
      </c>
      <c r="H85" s="6">
        <f t="shared" si="4"/>
        <v>2.1019825815571078</v>
      </c>
      <c r="N85" s="3" t="s">
        <v>26</v>
      </c>
      <c r="P85" s="6" t="e">
        <f>STDEV(P9:P77)</f>
        <v>#DIV/0!</v>
      </c>
      <c r="Q85" s="6" t="e">
        <f t="shared" ref="Q85:R85" si="5">STDEV(Q9:Q77)</f>
        <v>#DIV/0!</v>
      </c>
      <c r="R85" s="6" t="e">
        <f t="shared" si="5"/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E26" sqref="E26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2" sqref="A2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4D59-9027-874E-A66C-320D6D7D7273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F542-307E-A94E-A994-1F493F6C32A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EFBD-C43C-974E-9340-140701C19EBE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January</vt:lpstr>
      <vt:lpstr>April</vt:lpstr>
      <vt:lpstr>July</vt:lpstr>
      <vt:lpstr>October</vt:lpstr>
      <vt:lpstr>Notes</vt:lpstr>
      <vt:lpstr>Jan vs. Overall</vt:lpstr>
      <vt:lpstr>April vs. Overall</vt:lpstr>
      <vt:lpstr>July vs. Overall</vt:lpstr>
      <vt:lpstr>Oct vs. 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</dc:creator>
  <cp:lastModifiedBy>Emanuel Eagle</cp:lastModifiedBy>
  <dcterms:created xsi:type="dcterms:W3CDTF">2018-08-16T19:47:44Z</dcterms:created>
  <dcterms:modified xsi:type="dcterms:W3CDTF">2020-05-13T15:38:13Z</dcterms:modified>
</cp:coreProperties>
</file>