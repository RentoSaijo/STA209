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kohli\Desktop\Dropbox\teachingall\TeachingFolder\STA334\ClimateTrends\Climate Data\"/>
    </mc:Choice>
  </mc:AlternateContent>
  <xr:revisionPtr revIDLastSave="0" documentId="13_ncr:1_{14DC5261-8E76-4BA8-B546-00BF31A2DED5}" xr6:coauthVersionLast="36" xr6:coauthVersionMax="36" xr10:uidLastSave="{00000000-0000-0000-0000-000000000000}"/>
  <bookViews>
    <workbookView xWindow="0" yWindow="465" windowWidth="28800" windowHeight="15720" activeTab="2" xr2:uid="{00000000-000D-0000-FFFF-FFFF00000000}"/>
  </bookViews>
  <sheets>
    <sheet name="January" sheetId="1" r:id="rId1"/>
    <sheet name="April" sheetId="3" r:id="rId2"/>
    <sheet name="July" sheetId="2" r:id="rId3"/>
    <sheet name="October" sheetId="4" r:id="rId4"/>
    <sheet name="Notes" sheetId="5" r:id="rId5"/>
    <sheet name="Jan vs. Overall" sheetId="6" r:id="rId6"/>
    <sheet name="April vs. Overall" sheetId="7" r:id="rId7"/>
    <sheet name="July vs. Overall" sheetId="8" r:id="rId8"/>
    <sheet name="Oct vs. Overall" sheetId="9" r:id="rId9"/>
  </sheets>
  <calcPr calcId="191029"/>
</workbook>
</file>

<file path=xl/calcChain.xml><?xml version="1.0" encoding="utf-8"?>
<calcChain xmlns="http://schemas.openxmlformats.org/spreadsheetml/2006/main">
  <c r="H78" i="2" l="1"/>
  <c r="F78" i="2"/>
  <c r="H78" i="3"/>
  <c r="F78" i="3"/>
  <c r="H78" i="1"/>
  <c r="F78" i="1"/>
  <c r="H78" i="4"/>
  <c r="F78" i="4"/>
  <c r="G78" i="4" l="1"/>
  <c r="G78" i="2"/>
  <c r="G78" i="3"/>
  <c r="G78" i="1"/>
  <c r="D3" i="9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2" i="9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2" i="6"/>
  <c r="J69" i="4" l="1"/>
  <c r="K69" i="4"/>
  <c r="L69" i="4"/>
  <c r="L69" i="2"/>
  <c r="K69" i="2"/>
  <c r="J69" i="2"/>
  <c r="L69" i="3"/>
  <c r="K69" i="3"/>
  <c r="J69" i="3"/>
  <c r="L69" i="1"/>
  <c r="K69" i="1"/>
  <c r="J69" i="1"/>
  <c r="L29" i="4" l="1"/>
  <c r="K29" i="4"/>
  <c r="J29" i="4"/>
  <c r="L29" i="2"/>
  <c r="K29" i="2"/>
  <c r="J29" i="2"/>
  <c r="L29" i="3"/>
  <c r="K29" i="3"/>
  <c r="J29" i="3"/>
  <c r="L29" i="1"/>
  <c r="K29" i="1"/>
  <c r="J29" i="1"/>
  <c r="L9" i="1"/>
  <c r="K9" i="1"/>
  <c r="J9" i="1"/>
  <c r="L9" i="3"/>
  <c r="K9" i="3"/>
  <c r="J9" i="3"/>
  <c r="L9" i="2"/>
  <c r="K9" i="2"/>
  <c r="J9" i="2"/>
  <c r="L9" i="4"/>
  <c r="K9" i="4"/>
  <c r="J9" i="4"/>
  <c r="R85" i="4"/>
  <c r="Q85" i="4"/>
  <c r="P85" i="4"/>
  <c r="H85" i="4"/>
  <c r="G85" i="4"/>
  <c r="F85" i="4"/>
  <c r="R84" i="4"/>
  <c r="Q84" i="4"/>
  <c r="P84" i="4"/>
  <c r="H84" i="4"/>
  <c r="G84" i="4"/>
  <c r="F84" i="4"/>
  <c r="R83" i="4"/>
  <c r="Q83" i="4"/>
  <c r="P83" i="4"/>
  <c r="H83" i="4"/>
  <c r="G83" i="4"/>
  <c r="F83" i="4"/>
  <c r="R85" i="2"/>
  <c r="Q85" i="2"/>
  <c r="P85" i="2"/>
  <c r="H85" i="2"/>
  <c r="G85" i="2"/>
  <c r="F85" i="2"/>
  <c r="R84" i="2"/>
  <c r="Q84" i="2"/>
  <c r="P84" i="2"/>
  <c r="H84" i="2"/>
  <c r="G84" i="2"/>
  <c r="F84" i="2"/>
  <c r="R83" i="2"/>
  <c r="Q83" i="2"/>
  <c r="P83" i="2"/>
  <c r="H83" i="2"/>
  <c r="G83" i="2"/>
  <c r="F83" i="2"/>
  <c r="R85" i="3"/>
  <c r="Q85" i="3"/>
  <c r="P85" i="3"/>
  <c r="H85" i="3"/>
  <c r="G85" i="3"/>
  <c r="F85" i="3"/>
  <c r="R84" i="3"/>
  <c r="Q84" i="3"/>
  <c r="P84" i="3"/>
  <c r="H84" i="3"/>
  <c r="G84" i="3"/>
  <c r="F84" i="3"/>
  <c r="R83" i="3"/>
  <c r="Q83" i="3"/>
  <c r="P83" i="3"/>
  <c r="H83" i="3"/>
  <c r="G83" i="3"/>
  <c r="F83" i="3"/>
  <c r="R85" i="1"/>
  <c r="Q85" i="1"/>
  <c r="R84" i="1"/>
  <c r="Q84" i="1"/>
  <c r="P85" i="1"/>
  <c r="P84" i="1"/>
  <c r="H85" i="1"/>
  <c r="G85" i="1"/>
  <c r="F85" i="1"/>
  <c r="H84" i="1"/>
  <c r="G84" i="1"/>
  <c r="F84" i="1"/>
  <c r="R83" i="1"/>
  <c r="Q83" i="1"/>
  <c r="P83" i="1"/>
  <c r="H83" i="1"/>
  <c r="G83" i="1"/>
  <c r="F83" i="1"/>
  <c r="L59" i="4"/>
  <c r="K59" i="4"/>
  <c r="J59" i="4"/>
  <c r="L49" i="4"/>
  <c r="K49" i="4"/>
  <c r="J49" i="4"/>
  <c r="L39" i="4"/>
  <c r="K39" i="4"/>
  <c r="J39" i="4"/>
  <c r="L19" i="4"/>
  <c r="K19" i="4"/>
  <c r="J19" i="4"/>
  <c r="L59" i="2"/>
  <c r="K59" i="2"/>
  <c r="J59" i="2"/>
  <c r="L49" i="2"/>
  <c r="K49" i="2"/>
  <c r="J49" i="2"/>
  <c r="L39" i="2"/>
  <c r="K39" i="2"/>
  <c r="J39" i="2"/>
  <c r="L19" i="2"/>
  <c r="K19" i="2"/>
  <c r="J19" i="2"/>
  <c r="L59" i="3"/>
  <c r="K59" i="3"/>
  <c r="J59" i="3"/>
  <c r="L49" i="3"/>
  <c r="K49" i="3"/>
  <c r="J49" i="3"/>
  <c r="L39" i="3"/>
  <c r="K39" i="3"/>
  <c r="J39" i="3"/>
  <c r="L19" i="3"/>
  <c r="K19" i="3"/>
  <c r="J19" i="3"/>
  <c r="L59" i="1"/>
  <c r="K59" i="1"/>
  <c r="J59" i="1"/>
  <c r="L49" i="1"/>
  <c r="K49" i="1"/>
  <c r="J49" i="1"/>
  <c r="L39" i="1"/>
  <c r="K39" i="1"/>
  <c r="J39" i="1"/>
  <c r="L19" i="1"/>
  <c r="K19" i="1"/>
  <c r="J19" i="1"/>
</calcChain>
</file>

<file path=xl/sharedStrings.xml><?xml version="1.0" encoding="utf-8"?>
<sst xmlns="http://schemas.openxmlformats.org/spreadsheetml/2006/main" count="244" uniqueCount="57">
  <si>
    <t>Site:</t>
  </si>
  <si>
    <t>Decade</t>
  </si>
  <si>
    <t>Time Period</t>
  </si>
  <si>
    <t>Year</t>
  </si>
  <si>
    <t>Max</t>
  </si>
  <si>
    <t>Mean</t>
  </si>
  <si>
    <t>Avg</t>
  </si>
  <si>
    <t>Min</t>
  </si>
  <si>
    <t>Temperature</t>
  </si>
  <si>
    <t>Decadal</t>
  </si>
  <si>
    <t>DO NOT WRITE IN THESE COLUMNS</t>
  </si>
  <si>
    <t>Web address:</t>
  </si>
  <si>
    <t>No. days</t>
  </si>
  <si>
    <t>&lt; or = O ºC</t>
  </si>
  <si>
    <t>Month:</t>
  </si>
  <si>
    <t>January</t>
  </si>
  <si>
    <t>Precipitation</t>
  </si>
  <si>
    <t>Monthly</t>
  </si>
  <si>
    <t>of precipitation</t>
  </si>
  <si>
    <t>No. events</t>
  </si>
  <si>
    <t>April</t>
  </si>
  <si>
    <t>July</t>
  </si>
  <si>
    <t>October</t>
  </si>
  <si>
    <t>No. days daily mean is below</t>
  </si>
  <si>
    <t>Totals</t>
  </si>
  <si>
    <t>No. Years</t>
  </si>
  <si>
    <t>Stan Dev</t>
  </si>
  <si>
    <t>Total (mm)</t>
  </si>
  <si>
    <t>&gt; or = 75 mm</t>
  </si>
  <si>
    <t>Portland International Jetport, ME</t>
  </si>
  <si>
    <t xml:space="preserve"> </t>
  </si>
  <si>
    <t>1980*</t>
  </si>
  <si>
    <t>1981*</t>
  </si>
  <si>
    <t>1983*</t>
  </si>
  <si>
    <t>1986*</t>
  </si>
  <si>
    <t>1992*</t>
  </si>
  <si>
    <t>1973*</t>
  </si>
  <si>
    <t>1976*</t>
  </si>
  <si>
    <t>1977*</t>
  </si>
  <si>
    <t>1978*</t>
  </si>
  <si>
    <t>1979*</t>
  </si>
  <si>
    <t>1982*</t>
  </si>
  <si>
    <t>1984*</t>
  </si>
  <si>
    <t>1985*</t>
  </si>
  <si>
    <t>* denotes a month that has an unusual amount of precip. (for a specific day) some effect daily total some don't</t>
  </si>
  <si>
    <t>1987*</t>
  </si>
  <si>
    <t>1990*</t>
  </si>
  <si>
    <t>1993*</t>
  </si>
  <si>
    <t>1988*</t>
  </si>
  <si>
    <t>1991*</t>
  </si>
  <si>
    <t>1974*</t>
  </si>
  <si>
    <t>1975*</t>
  </si>
  <si>
    <t>1989*</t>
  </si>
  <si>
    <t>&gt; or = X ºC</t>
  </si>
  <si>
    <t>https://www.wunderground.com/weather/BGM</t>
  </si>
  <si>
    <t>Overall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</si>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</sst>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2" borderId="0" xfId="0" applyFill="1"/>
    <xf numFmtId="2" fontId="0" fillId="0" borderId="0" xfId="0" applyNumberFormat="1"/>
    <xf numFmtId="0" fontId="3" fillId="0" borderId="0" xfId="1"/>
    <xf numFmtId="0" fontId="4" fillId="0" borderId="0" xfId="0" applyFont="1"/>
    <xf numFmtId="1" fontId="0" fillId="0" borderId="0" xfId="0" applyNumberFormat="1"/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6048375" y="276225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629400" y="2857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7239000" y="2857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762750" y="466725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74485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80581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6762750" y="466725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74485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80581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85725</xdr:rowOff>
    </xdr:from>
    <xdr:to>
      <xdr:col>9</xdr:col>
      <xdr:colOff>323850</xdr:colOff>
      <xdr:row>3</xdr:row>
      <xdr:rowOff>142875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6762750" y="466725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2</xdr:row>
      <xdr:rowOff>95250</xdr:rowOff>
    </xdr:from>
    <xdr:to>
      <xdr:col>10</xdr:col>
      <xdr:colOff>295275</xdr:colOff>
      <xdr:row>3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74485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</xdr:row>
      <xdr:rowOff>95250</xdr:rowOff>
    </xdr:from>
    <xdr:to>
      <xdr:col>11</xdr:col>
      <xdr:colOff>295275</xdr:colOff>
      <xdr:row>3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8058150" y="476250"/>
          <a:ext cx="0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underground.com/weather/BG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wunderground.com/weather/BG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wunderground.com/weather/BG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wunderground.com/weather/B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"/>
  <sheetViews>
    <sheetView topLeftCell="A25" zoomScaleNormal="100" workbookViewId="0">
      <selection activeCell="G16" sqref="G16"/>
    </sheetView>
  </sheetViews>
  <sheetFormatPr defaultColWidth="8.85546875" defaultRowHeight="15" x14ac:dyDescent="0.25"/>
  <cols>
    <col min="1" max="1" width="14.42578125" customWidth="1"/>
    <col min="9" max="9" width="29" customWidth="1"/>
    <col min="10" max="10" width="10.7109375" customWidth="1"/>
    <col min="15" max="15" width="6" customWidth="1"/>
    <col min="16" max="16" width="10.42578125" customWidth="1"/>
    <col min="17" max="17" width="17.42578125" customWidth="1"/>
    <col min="18" max="18" width="13.42578125" customWidth="1"/>
  </cols>
  <sheetData>
    <row r="1" spans="1:18" x14ac:dyDescent="0.25">
      <c r="A1" t="s">
        <v>0</v>
      </c>
      <c r="B1" t="s">
        <v>29</v>
      </c>
      <c r="E1" t="s">
        <v>14</v>
      </c>
      <c r="F1" t="s">
        <v>15</v>
      </c>
      <c r="J1" t="s">
        <v>10</v>
      </c>
    </row>
    <row r="2" spans="1:18" x14ac:dyDescent="0.25">
      <c r="A2" t="s">
        <v>11</v>
      </c>
      <c r="B2" s="7" t="s">
        <v>54</v>
      </c>
    </row>
    <row r="4" spans="1:18" x14ac:dyDescent="0.25">
      <c r="C4" s="4" t="s">
        <v>2</v>
      </c>
      <c r="G4" s="4" t="s">
        <v>8</v>
      </c>
      <c r="Q4" s="4" t="s">
        <v>16</v>
      </c>
    </row>
    <row r="5" spans="1:18" x14ac:dyDescent="0.25">
      <c r="J5" t="s">
        <v>9</v>
      </c>
      <c r="K5" t="s">
        <v>9</v>
      </c>
      <c r="L5" t="s">
        <v>9</v>
      </c>
    </row>
    <row r="6" spans="1:18" x14ac:dyDescent="0.25">
      <c r="F6" s="1" t="s">
        <v>5</v>
      </c>
      <c r="G6" s="1" t="s">
        <v>5</v>
      </c>
      <c r="H6" s="1" t="s">
        <v>5</v>
      </c>
      <c r="I6" t="s">
        <v>23</v>
      </c>
      <c r="J6" s="1" t="s">
        <v>5</v>
      </c>
      <c r="K6" s="1" t="s">
        <v>5</v>
      </c>
      <c r="L6" s="1" t="s">
        <v>5</v>
      </c>
      <c r="M6" s="2"/>
      <c r="P6" s="2" t="s">
        <v>17</v>
      </c>
      <c r="Q6" s="2" t="s">
        <v>12</v>
      </c>
      <c r="R6" s="2" t="s">
        <v>19</v>
      </c>
    </row>
    <row r="7" spans="1:18" x14ac:dyDescent="0.25">
      <c r="C7" t="s">
        <v>1</v>
      </c>
      <c r="D7" t="s">
        <v>3</v>
      </c>
      <c r="F7" s="1" t="s">
        <v>4</v>
      </c>
      <c r="G7" s="1" t="s">
        <v>6</v>
      </c>
      <c r="H7" s="1" t="s">
        <v>7</v>
      </c>
      <c r="I7" s="2" t="s">
        <v>13</v>
      </c>
      <c r="J7" s="1" t="s">
        <v>4</v>
      </c>
      <c r="K7" s="1" t="s">
        <v>6</v>
      </c>
      <c r="L7" s="1" t="s">
        <v>7</v>
      </c>
      <c r="M7" s="2"/>
      <c r="N7" t="s">
        <v>3</v>
      </c>
      <c r="P7" s="2" t="s">
        <v>27</v>
      </c>
      <c r="Q7" s="2" t="s">
        <v>18</v>
      </c>
      <c r="R7" s="2" t="s">
        <v>28</v>
      </c>
    </row>
    <row r="8" spans="1:18" s="5" customFormat="1" x14ac:dyDescent="0.25"/>
    <row r="9" spans="1:18" x14ac:dyDescent="0.25">
      <c r="C9">
        <v>1950</v>
      </c>
      <c r="D9">
        <v>1950</v>
      </c>
      <c r="F9">
        <v>15</v>
      </c>
      <c r="G9">
        <v>2</v>
      </c>
      <c r="H9">
        <v>-11</v>
      </c>
      <c r="J9">
        <f>SUM(F9:F18)/10</f>
        <v>6.2</v>
      </c>
      <c r="K9">
        <f>SUM(G9:G18)/10</f>
        <v>-4.5999999999999996</v>
      </c>
      <c r="L9">
        <f>SUM(H9:H18)/10</f>
        <v>-14.6</v>
      </c>
      <c r="N9">
        <v>1950</v>
      </c>
    </row>
    <row r="10" spans="1:18" x14ac:dyDescent="0.25">
      <c r="D10">
        <v>1951</v>
      </c>
      <c r="F10">
        <v>7</v>
      </c>
      <c r="G10">
        <v>-2</v>
      </c>
      <c r="H10">
        <v>-12</v>
      </c>
      <c r="N10">
        <v>1951</v>
      </c>
    </row>
    <row r="11" spans="1:18" x14ac:dyDescent="0.25">
      <c r="D11">
        <v>1952</v>
      </c>
      <c r="F11">
        <v>6</v>
      </c>
      <c r="G11">
        <v>-4</v>
      </c>
      <c r="H11">
        <v>-16</v>
      </c>
      <c r="N11">
        <v>1952</v>
      </c>
    </row>
    <row r="12" spans="1:18" x14ac:dyDescent="0.25">
      <c r="D12">
        <v>1953</v>
      </c>
      <c r="F12">
        <v>8</v>
      </c>
      <c r="G12">
        <v>-2</v>
      </c>
      <c r="H12">
        <v>-11</v>
      </c>
      <c r="N12">
        <v>1953</v>
      </c>
    </row>
    <row r="13" spans="1:18" x14ac:dyDescent="0.25">
      <c r="D13">
        <v>1954</v>
      </c>
      <c r="F13">
        <v>5</v>
      </c>
      <c r="G13">
        <v>-7</v>
      </c>
      <c r="H13">
        <v>-16</v>
      </c>
      <c r="N13">
        <v>1954</v>
      </c>
    </row>
    <row r="14" spans="1:18" x14ac:dyDescent="0.25">
      <c r="D14">
        <v>1955</v>
      </c>
      <c r="F14">
        <v>2</v>
      </c>
      <c r="G14">
        <v>-7</v>
      </c>
      <c r="H14">
        <v>-14</v>
      </c>
      <c r="N14">
        <v>1955</v>
      </c>
    </row>
    <row r="15" spans="1:18" x14ac:dyDescent="0.25">
      <c r="D15">
        <v>1956</v>
      </c>
      <c r="F15">
        <v>4</v>
      </c>
      <c r="G15">
        <v>-6</v>
      </c>
      <c r="H15">
        <v>-15</v>
      </c>
      <c r="N15">
        <v>1956</v>
      </c>
    </row>
    <row r="16" spans="1:18" x14ac:dyDescent="0.25">
      <c r="D16">
        <v>1957</v>
      </c>
      <c r="F16">
        <v>7</v>
      </c>
      <c r="G16">
        <v>-8</v>
      </c>
      <c r="H16">
        <v>-21</v>
      </c>
      <c r="N16">
        <v>1957</v>
      </c>
    </row>
    <row r="17" spans="3:14" x14ac:dyDescent="0.25">
      <c r="D17">
        <v>1958</v>
      </c>
      <c r="F17">
        <v>1</v>
      </c>
      <c r="G17">
        <v>-6</v>
      </c>
      <c r="H17">
        <v>-15</v>
      </c>
      <c r="N17">
        <v>1958</v>
      </c>
    </row>
    <row r="18" spans="3:14" x14ac:dyDescent="0.25">
      <c r="D18">
        <v>1959</v>
      </c>
      <c r="F18">
        <v>7</v>
      </c>
      <c r="G18">
        <v>-6</v>
      </c>
      <c r="H18">
        <v>-15</v>
      </c>
      <c r="N18">
        <v>1959</v>
      </c>
    </row>
    <row r="19" spans="3:14" x14ac:dyDescent="0.25">
      <c r="C19">
        <v>1960</v>
      </c>
      <c r="D19">
        <v>1960</v>
      </c>
      <c r="F19">
        <v>2</v>
      </c>
      <c r="G19">
        <v>-3</v>
      </c>
      <c r="H19">
        <v>-10</v>
      </c>
      <c r="J19">
        <f>SUM(F19:F28)/10</f>
        <v>4.7</v>
      </c>
      <c r="K19">
        <f>SUM(G19:G28)/10</f>
        <v>-5.9</v>
      </c>
      <c r="L19">
        <f>SUM(H19:H28)/10</f>
        <v>-16.399999999999999</v>
      </c>
      <c r="N19">
        <v>1960</v>
      </c>
    </row>
    <row r="20" spans="3:14" x14ac:dyDescent="0.25">
      <c r="D20">
        <v>1961</v>
      </c>
      <c r="F20">
        <v>3</v>
      </c>
      <c r="G20">
        <v>-8</v>
      </c>
      <c r="H20">
        <v>-17</v>
      </c>
      <c r="N20">
        <v>1961</v>
      </c>
    </row>
    <row r="21" spans="3:14" x14ac:dyDescent="0.25">
      <c r="D21">
        <v>1962</v>
      </c>
      <c r="F21">
        <v>3</v>
      </c>
      <c r="G21">
        <v>-7</v>
      </c>
      <c r="H21">
        <v>-15</v>
      </c>
      <c r="N21">
        <v>1962</v>
      </c>
    </row>
    <row r="22" spans="3:14" x14ac:dyDescent="0.25">
      <c r="D22">
        <v>1963</v>
      </c>
      <c r="F22">
        <v>4</v>
      </c>
      <c r="G22">
        <v>-7</v>
      </c>
      <c r="H22">
        <v>-21</v>
      </c>
      <c r="N22">
        <v>1963</v>
      </c>
    </row>
    <row r="23" spans="3:14" x14ac:dyDescent="0.25">
      <c r="D23">
        <v>1964</v>
      </c>
      <c r="F23">
        <v>4</v>
      </c>
      <c r="G23">
        <v>-4</v>
      </c>
      <c r="H23">
        <v>-16</v>
      </c>
      <c r="N23">
        <v>1964</v>
      </c>
    </row>
    <row r="24" spans="3:14" x14ac:dyDescent="0.25">
      <c r="D24">
        <v>1965</v>
      </c>
      <c r="F24">
        <v>3</v>
      </c>
      <c r="G24">
        <v>-7</v>
      </c>
      <c r="H24">
        <v>-20</v>
      </c>
      <c r="N24">
        <v>1965</v>
      </c>
    </row>
    <row r="25" spans="3:14" x14ac:dyDescent="0.25">
      <c r="D25">
        <v>1966</v>
      </c>
      <c r="F25">
        <v>7</v>
      </c>
      <c r="G25">
        <v>-7</v>
      </c>
      <c r="H25">
        <v>-17</v>
      </c>
      <c r="N25">
        <v>1966</v>
      </c>
    </row>
    <row r="26" spans="3:14" x14ac:dyDescent="0.25">
      <c r="D26">
        <v>1967</v>
      </c>
      <c r="F26">
        <v>14</v>
      </c>
      <c r="G26">
        <v>-2</v>
      </c>
      <c r="H26">
        <v>-13</v>
      </c>
      <c r="N26">
        <v>1967</v>
      </c>
    </row>
    <row r="27" spans="3:14" x14ac:dyDescent="0.25">
      <c r="D27">
        <v>1968</v>
      </c>
      <c r="F27">
        <v>2</v>
      </c>
      <c r="G27">
        <v>-8</v>
      </c>
      <c r="H27">
        <v>-21</v>
      </c>
      <c r="N27">
        <v>1968</v>
      </c>
    </row>
    <row r="28" spans="3:14" x14ac:dyDescent="0.25">
      <c r="D28">
        <v>1969</v>
      </c>
      <c r="F28">
        <v>5</v>
      </c>
      <c r="G28">
        <v>-6</v>
      </c>
      <c r="H28">
        <v>-14</v>
      </c>
      <c r="N28">
        <v>1969</v>
      </c>
    </row>
    <row r="29" spans="3:14" x14ac:dyDescent="0.25">
      <c r="C29">
        <v>1970</v>
      </c>
      <c r="D29">
        <v>1970</v>
      </c>
      <c r="F29">
        <v>5</v>
      </c>
      <c r="G29">
        <v>-8</v>
      </c>
      <c r="H29">
        <v>-18</v>
      </c>
      <c r="J29">
        <f>SUM(F29:F38)/10</f>
        <v>4.5999999999999996</v>
      </c>
      <c r="K29">
        <f>SUM(G29:G38)/10</f>
        <v>-6</v>
      </c>
      <c r="L29">
        <f>SUM(H29:H38)/10</f>
        <v>-16.7</v>
      </c>
      <c r="N29">
        <v>1970</v>
      </c>
    </row>
    <row r="30" spans="3:14" x14ac:dyDescent="0.25">
      <c r="D30">
        <v>1971</v>
      </c>
      <c r="F30">
        <v>-1</v>
      </c>
      <c r="G30">
        <v>-9</v>
      </c>
      <c r="H30">
        <v>-19</v>
      </c>
      <c r="N30">
        <v>1971</v>
      </c>
    </row>
    <row r="31" spans="3:14" x14ac:dyDescent="0.25">
      <c r="D31">
        <v>1972</v>
      </c>
      <c r="F31">
        <v>6</v>
      </c>
      <c r="G31">
        <v>-4</v>
      </c>
      <c r="H31">
        <v>-18</v>
      </c>
      <c r="N31">
        <v>1972</v>
      </c>
    </row>
    <row r="32" spans="3:14" x14ac:dyDescent="0.25">
      <c r="D32">
        <v>1973</v>
      </c>
      <c r="F32">
        <v>8</v>
      </c>
      <c r="G32">
        <v>-4</v>
      </c>
      <c r="H32">
        <v>-17</v>
      </c>
      <c r="N32">
        <v>1973</v>
      </c>
    </row>
    <row r="33" spans="3:14" x14ac:dyDescent="0.25">
      <c r="D33">
        <v>1974</v>
      </c>
      <c r="F33">
        <v>9</v>
      </c>
      <c r="G33">
        <v>-2</v>
      </c>
      <c r="H33">
        <v>-13</v>
      </c>
      <c r="N33">
        <v>1974</v>
      </c>
    </row>
    <row r="34" spans="3:14" x14ac:dyDescent="0.25">
      <c r="D34">
        <v>1975</v>
      </c>
      <c r="F34">
        <v>8</v>
      </c>
      <c r="G34">
        <v>-3</v>
      </c>
      <c r="H34">
        <v>-14</v>
      </c>
      <c r="N34">
        <v>1975</v>
      </c>
    </row>
    <row r="35" spans="3:14" x14ac:dyDescent="0.25">
      <c r="D35">
        <v>1976</v>
      </c>
      <c r="F35">
        <v>4</v>
      </c>
      <c r="G35">
        <v>-8</v>
      </c>
      <c r="H35">
        <v>-21</v>
      </c>
      <c r="N35">
        <v>1976</v>
      </c>
    </row>
    <row r="36" spans="3:14" x14ac:dyDescent="0.25">
      <c r="D36">
        <v>1977</v>
      </c>
      <c r="F36">
        <v>-3</v>
      </c>
      <c r="G36">
        <v>-9</v>
      </c>
      <c r="H36">
        <v>-19</v>
      </c>
      <c r="N36">
        <v>1977</v>
      </c>
    </row>
    <row r="37" spans="3:14" x14ac:dyDescent="0.25">
      <c r="D37">
        <v>1978</v>
      </c>
      <c r="F37">
        <v>3</v>
      </c>
      <c r="G37">
        <v>-7</v>
      </c>
      <c r="H37">
        <v>-12</v>
      </c>
      <c r="N37">
        <v>1978</v>
      </c>
    </row>
    <row r="38" spans="3:14" x14ac:dyDescent="0.25">
      <c r="D38">
        <v>1979</v>
      </c>
      <c r="F38">
        <v>7</v>
      </c>
      <c r="G38">
        <v>-6</v>
      </c>
      <c r="H38">
        <v>-16</v>
      </c>
      <c r="N38">
        <v>1979</v>
      </c>
    </row>
    <row r="39" spans="3:14" x14ac:dyDescent="0.25">
      <c r="C39">
        <v>1980</v>
      </c>
      <c r="D39">
        <v>1980</v>
      </c>
      <c r="F39">
        <v>3</v>
      </c>
      <c r="G39">
        <v>-4</v>
      </c>
      <c r="H39">
        <v>-13</v>
      </c>
      <c r="J39">
        <f>SUM(F39:F48)/10</f>
        <v>4.4000000000000004</v>
      </c>
      <c r="K39">
        <f>SUM(G39:G48)/10</f>
        <v>-5.2</v>
      </c>
      <c r="L39">
        <f>SUM(H39:H48)/10</f>
        <v>-16.3</v>
      </c>
      <c r="N39" t="s">
        <v>31</v>
      </c>
    </row>
    <row r="40" spans="3:14" x14ac:dyDescent="0.25">
      <c r="D40">
        <v>1981</v>
      </c>
      <c r="F40">
        <v>5</v>
      </c>
      <c r="G40">
        <v>-8</v>
      </c>
      <c r="H40">
        <v>-19</v>
      </c>
      <c r="N40" t="s">
        <v>32</v>
      </c>
    </row>
    <row r="41" spans="3:14" x14ac:dyDescent="0.25">
      <c r="D41">
        <v>1982</v>
      </c>
      <c r="F41">
        <v>3</v>
      </c>
      <c r="G41">
        <v>-9</v>
      </c>
      <c r="H41">
        <v>-20</v>
      </c>
      <c r="N41">
        <v>1982</v>
      </c>
    </row>
    <row r="42" spans="3:14" x14ac:dyDescent="0.25">
      <c r="D42">
        <v>1983</v>
      </c>
      <c r="F42">
        <v>3</v>
      </c>
      <c r="G42">
        <v>-4</v>
      </c>
      <c r="H42">
        <v>-13</v>
      </c>
      <c r="N42" t="s">
        <v>33</v>
      </c>
    </row>
    <row r="43" spans="3:14" x14ac:dyDescent="0.25">
      <c r="D43">
        <v>1984</v>
      </c>
      <c r="F43">
        <v>2</v>
      </c>
      <c r="G43">
        <v>-6</v>
      </c>
      <c r="H43">
        <v>-18</v>
      </c>
      <c r="N43">
        <v>1984</v>
      </c>
    </row>
    <row r="44" spans="3:14" x14ac:dyDescent="0.25">
      <c r="D44">
        <v>1985</v>
      </c>
      <c r="F44">
        <v>5</v>
      </c>
      <c r="G44">
        <v>-6</v>
      </c>
      <c r="H44">
        <v>-16</v>
      </c>
      <c r="N44">
        <v>1985</v>
      </c>
    </row>
    <row r="45" spans="3:14" x14ac:dyDescent="0.25">
      <c r="D45">
        <v>1986</v>
      </c>
      <c r="F45">
        <v>6</v>
      </c>
      <c r="G45">
        <v>-4</v>
      </c>
      <c r="H45">
        <v>-16</v>
      </c>
      <c r="N45" t="s">
        <v>34</v>
      </c>
    </row>
    <row r="46" spans="3:14" x14ac:dyDescent="0.25">
      <c r="D46">
        <v>1987</v>
      </c>
      <c r="F46">
        <v>4</v>
      </c>
      <c r="G46">
        <v>-4</v>
      </c>
      <c r="H46">
        <v>-15</v>
      </c>
      <c r="N46">
        <v>1987</v>
      </c>
    </row>
    <row r="47" spans="3:14" x14ac:dyDescent="0.25">
      <c r="D47">
        <v>1988</v>
      </c>
      <c r="F47">
        <v>9</v>
      </c>
      <c r="G47">
        <v>-5</v>
      </c>
      <c r="H47">
        <v>-18</v>
      </c>
      <c r="N47">
        <v>1988</v>
      </c>
    </row>
    <row r="48" spans="3:14" x14ac:dyDescent="0.25">
      <c r="D48">
        <v>1989</v>
      </c>
      <c r="F48">
        <v>4</v>
      </c>
      <c r="G48">
        <v>-2</v>
      </c>
      <c r="H48">
        <v>-15</v>
      </c>
      <c r="N48">
        <v>1989</v>
      </c>
    </row>
    <row r="49" spans="3:14" x14ac:dyDescent="0.25">
      <c r="C49">
        <v>1990</v>
      </c>
      <c r="D49">
        <v>1990</v>
      </c>
      <c r="F49">
        <v>8</v>
      </c>
      <c r="G49">
        <v>0</v>
      </c>
      <c r="H49">
        <v>-9</v>
      </c>
      <c r="J49">
        <f>SUM(F49:F58)/10</f>
        <v>6.3</v>
      </c>
      <c r="K49">
        <f>SUM(G49:G58)/10</f>
        <v>-3.6</v>
      </c>
      <c r="L49">
        <f>SUM(H49:H58)/10</f>
        <v>-14.3</v>
      </c>
      <c r="N49">
        <v>1990</v>
      </c>
    </row>
    <row r="50" spans="3:14" x14ac:dyDescent="0.25">
      <c r="D50">
        <v>1991</v>
      </c>
      <c r="F50">
        <v>2</v>
      </c>
      <c r="G50">
        <v>-4</v>
      </c>
      <c r="H50">
        <v>-13</v>
      </c>
      <c r="N50">
        <v>1991</v>
      </c>
    </row>
    <row r="51" spans="3:14" x14ac:dyDescent="0.25">
      <c r="D51">
        <v>1992</v>
      </c>
      <c r="F51">
        <v>5</v>
      </c>
      <c r="G51">
        <v>-3</v>
      </c>
      <c r="H51">
        <v>-15</v>
      </c>
      <c r="N51" t="s">
        <v>35</v>
      </c>
    </row>
    <row r="52" spans="3:14" x14ac:dyDescent="0.25">
      <c r="D52">
        <v>1993</v>
      </c>
      <c r="F52">
        <v>7</v>
      </c>
      <c r="G52">
        <v>-3</v>
      </c>
      <c r="H52">
        <v>-9</v>
      </c>
      <c r="N52">
        <v>1993</v>
      </c>
    </row>
    <row r="53" spans="3:14" x14ac:dyDescent="0.25">
      <c r="D53">
        <v>1994</v>
      </c>
      <c r="F53">
        <v>2</v>
      </c>
      <c r="G53">
        <v>-8</v>
      </c>
      <c r="H53">
        <v>-23</v>
      </c>
      <c r="N53">
        <v>1994</v>
      </c>
    </row>
    <row r="54" spans="3:14" x14ac:dyDescent="0.25">
      <c r="D54">
        <v>1995</v>
      </c>
      <c r="F54">
        <v>9</v>
      </c>
      <c r="G54">
        <v>-2</v>
      </c>
      <c r="H54">
        <v>-12</v>
      </c>
      <c r="N54">
        <v>1995</v>
      </c>
    </row>
    <row r="55" spans="3:14" x14ac:dyDescent="0.25">
      <c r="D55">
        <v>1996</v>
      </c>
      <c r="F55">
        <v>5</v>
      </c>
      <c r="G55">
        <v>-5</v>
      </c>
      <c r="H55">
        <v>-15</v>
      </c>
      <c r="N55">
        <v>1996</v>
      </c>
    </row>
    <row r="56" spans="3:14" x14ac:dyDescent="0.25">
      <c r="D56">
        <v>1997</v>
      </c>
      <c r="F56">
        <v>7</v>
      </c>
      <c r="G56">
        <v>-6</v>
      </c>
      <c r="H56">
        <v>-19</v>
      </c>
      <c r="N56">
        <v>1997</v>
      </c>
    </row>
    <row r="57" spans="3:14" x14ac:dyDescent="0.25">
      <c r="D57">
        <v>1998</v>
      </c>
      <c r="F57">
        <v>11</v>
      </c>
      <c r="G57">
        <v>0</v>
      </c>
      <c r="H57">
        <v>-12</v>
      </c>
      <c r="N57">
        <v>1998</v>
      </c>
    </row>
    <row r="58" spans="3:14" x14ac:dyDescent="0.25">
      <c r="D58">
        <v>1999</v>
      </c>
      <c r="F58">
        <v>7</v>
      </c>
      <c r="G58">
        <v>-5</v>
      </c>
      <c r="H58">
        <v>-16</v>
      </c>
      <c r="N58">
        <v>1999</v>
      </c>
    </row>
    <row r="59" spans="3:14" x14ac:dyDescent="0.25">
      <c r="C59">
        <v>2000</v>
      </c>
      <c r="D59">
        <v>2000</v>
      </c>
      <c r="F59">
        <v>10</v>
      </c>
      <c r="G59">
        <v>-6</v>
      </c>
      <c r="H59">
        <v>-19</v>
      </c>
      <c r="J59">
        <f>SUM(F59:F68)/10</f>
        <v>7.2</v>
      </c>
      <c r="K59">
        <f>SUM(G59:G68)/10</f>
        <v>-4.9000000000000004</v>
      </c>
      <c r="L59">
        <f>SUM(H59:H68)/10</f>
        <v>-15.7</v>
      </c>
      <c r="N59">
        <v>2000</v>
      </c>
    </row>
    <row r="60" spans="3:14" x14ac:dyDescent="0.25">
      <c r="D60">
        <v>2001</v>
      </c>
      <c r="F60">
        <v>2</v>
      </c>
      <c r="G60">
        <v>-4</v>
      </c>
      <c r="H60">
        <v>-12</v>
      </c>
      <c r="N60">
        <v>2001</v>
      </c>
    </row>
    <row r="61" spans="3:14" x14ac:dyDescent="0.25">
      <c r="D61">
        <v>2002</v>
      </c>
      <c r="F61">
        <v>8</v>
      </c>
      <c r="G61">
        <v>-1</v>
      </c>
      <c r="H61">
        <v>-8</v>
      </c>
      <c r="N61">
        <v>2002</v>
      </c>
    </row>
    <row r="62" spans="3:14" x14ac:dyDescent="0.25">
      <c r="D62">
        <v>2003</v>
      </c>
      <c r="F62">
        <v>1</v>
      </c>
      <c r="G62">
        <v>-9</v>
      </c>
      <c r="H62">
        <v>-18</v>
      </c>
      <c r="N62">
        <v>2003</v>
      </c>
    </row>
    <row r="63" spans="3:14" x14ac:dyDescent="0.25">
      <c r="D63">
        <v>2004</v>
      </c>
      <c r="F63">
        <v>8</v>
      </c>
      <c r="G63">
        <v>-10</v>
      </c>
      <c r="H63">
        <v>-21</v>
      </c>
      <c r="N63">
        <v>2004</v>
      </c>
    </row>
    <row r="64" spans="3:14" x14ac:dyDescent="0.25">
      <c r="D64">
        <v>2005</v>
      </c>
      <c r="F64">
        <v>9</v>
      </c>
      <c r="G64">
        <v>-6</v>
      </c>
      <c r="H64">
        <v>-20</v>
      </c>
      <c r="N64">
        <v>2005</v>
      </c>
    </row>
    <row r="65" spans="3:14" x14ac:dyDescent="0.25">
      <c r="D65">
        <v>2006</v>
      </c>
      <c r="F65">
        <v>8</v>
      </c>
      <c r="G65">
        <v>0</v>
      </c>
      <c r="H65">
        <v>-12</v>
      </c>
      <c r="N65">
        <v>2006</v>
      </c>
    </row>
    <row r="66" spans="3:14" x14ac:dyDescent="0.25">
      <c r="D66">
        <v>2007</v>
      </c>
      <c r="F66">
        <v>12</v>
      </c>
      <c r="G66">
        <v>-3</v>
      </c>
      <c r="H66">
        <v>-16</v>
      </c>
      <c r="N66">
        <v>2007</v>
      </c>
    </row>
    <row r="67" spans="3:14" x14ac:dyDescent="0.25">
      <c r="D67">
        <v>2008</v>
      </c>
      <c r="F67">
        <v>14</v>
      </c>
      <c r="G67">
        <v>-2</v>
      </c>
      <c r="H67">
        <v>-14</v>
      </c>
      <c r="N67">
        <v>2008</v>
      </c>
    </row>
    <row r="68" spans="3:14" x14ac:dyDescent="0.25">
      <c r="D68">
        <v>2009</v>
      </c>
      <c r="F68">
        <v>0</v>
      </c>
      <c r="G68">
        <v>-8</v>
      </c>
      <c r="H68">
        <v>-17</v>
      </c>
      <c r="N68">
        <v>2009</v>
      </c>
    </row>
    <row r="69" spans="3:14" x14ac:dyDescent="0.25">
      <c r="C69">
        <v>2010</v>
      </c>
      <c r="D69">
        <v>2010</v>
      </c>
      <c r="F69">
        <v>9</v>
      </c>
      <c r="G69">
        <v>-5</v>
      </c>
      <c r="H69">
        <v>-16</v>
      </c>
      <c r="J69">
        <f>SUM(F69:F78)/10</f>
        <v>6.941887641920192</v>
      </c>
      <c r="K69">
        <f>SUM(G69:G78)/10</f>
        <v>-4.3681828571662384</v>
      </c>
      <c r="L69">
        <f>SUM(H69:H78)/10</f>
        <v>-14.160206588813708</v>
      </c>
      <c r="N69">
        <v>2010</v>
      </c>
    </row>
    <row r="70" spans="3:14" x14ac:dyDescent="0.25">
      <c r="D70">
        <v>2011</v>
      </c>
      <c r="F70">
        <v>8</v>
      </c>
      <c r="G70">
        <v>-6</v>
      </c>
      <c r="H70">
        <v>-15</v>
      </c>
      <c r="N70">
        <v>2011</v>
      </c>
    </row>
    <row r="71" spans="3:14" x14ac:dyDescent="0.25">
      <c r="D71">
        <v>2012</v>
      </c>
      <c r="F71">
        <v>6</v>
      </c>
      <c r="G71">
        <v>-2</v>
      </c>
      <c r="H71">
        <v>-15</v>
      </c>
      <c r="N71">
        <v>2012</v>
      </c>
    </row>
    <row r="72" spans="3:14" x14ac:dyDescent="0.25">
      <c r="D72">
        <v>2013</v>
      </c>
      <c r="F72">
        <v>10</v>
      </c>
      <c r="G72">
        <v>-3</v>
      </c>
      <c r="H72">
        <v>-16</v>
      </c>
      <c r="N72">
        <v>2013</v>
      </c>
    </row>
    <row r="73" spans="3:14" x14ac:dyDescent="0.25">
      <c r="D73">
        <v>2014</v>
      </c>
      <c r="F73">
        <v>7</v>
      </c>
      <c r="G73">
        <v>-8</v>
      </c>
      <c r="H73">
        <v>-20</v>
      </c>
      <c r="N73">
        <v>2014</v>
      </c>
    </row>
    <row r="74" spans="3:14" x14ac:dyDescent="0.25">
      <c r="D74">
        <v>2015</v>
      </c>
      <c r="F74">
        <v>5</v>
      </c>
      <c r="G74">
        <v>-8</v>
      </c>
      <c r="H74">
        <v>-15</v>
      </c>
      <c r="N74">
        <v>2015</v>
      </c>
    </row>
    <row r="75" spans="3:14" x14ac:dyDescent="0.25">
      <c r="D75">
        <v>2016</v>
      </c>
      <c r="F75">
        <v>7</v>
      </c>
      <c r="G75">
        <v>-4</v>
      </c>
      <c r="H75">
        <v>-13</v>
      </c>
      <c r="N75">
        <v>2016</v>
      </c>
    </row>
    <row r="76" spans="3:14" x14ac:dyDescent="0.25">
      <c r="D76">
        <v>2017</v>
      </c>
      <c r="F76">
        <v>8</v>
      </c>
      <c r="G76">
        <v>-2</v>
      </c>
      <c r="H76">
        <v>-13</v>
      </c>
      <c r="N76">
        <v>2017</v>
      </c>
    </row>
    <row r="77" spans="3:14" x14ac:dyDescent="0.25">
      <c r="D77">
        <v>2018</v>
      </c>
      <c r="F77">
        <v>9</v>
      </c>
      <c r="G77">
        <v>-6</v>
      </c>
      <c r="H77">
        <v>-19</v>
      </c>
      <c r="N77">
        <v>2018</v>
      </c>
    </row>
    <row r="78" spans="3:14" x14ac:dyDescent="0.25">
      <c r="F78">
        <f>STDEV(F9:F77)/SQRT(69)</f>
        <v>0.41887641920192387</v>
      </c>
      <c r="G78">
        <f>STDEV(G9:G77)/SQRT(69)</f>
        <v>0.31817142833761131</v>
      </c>
      <c r="H78">
        <f>STDEV(H9:H77)/SQRT(69)</f>
        <v>0.39793411186292904</v>
      </c>
    </row>
    <row r="81" spans="4:18" x14ac:dyDescent="0.25">
      <c r="D81" s="4" t="s">
        <v>24</v>
      </c>
      <c r="N81" s="4" t="s">
        <v>24</v>
      </c>
    </row>
    <row r="83" spans="4:18" x14ac:dyDescent="0.25">
      <c r="D83" s="3" t="s">
        <v>25</v>
      </c>
      <c r="F83">
        <f>COUNT(F9:F77)</f>
        <v>69</v>
      </c>
      <c r="G83">
        <f t="shared" ref="G83:H83" si="0">COUNT(G9:G77)</f>
        <v>69</v>
      </c>
      <c r="H83">
        <f t="shared" si="0"/>
        <v>69</v>
      </c>
      <c r="N83" s="3" t="s">
        <v>25</v>
      </c>
      <c r="P83">
        <f t="shared" ref="P83:R83" si="1">COUNT(P9:P77)</f>
        <v>0</v>
      </c>
      <c r="Q83">
        <f t="shared" si="1"/>
        <v>0</v>
      </c>
      <c r="R83">
        <f t="shared" si="1"/>
        <v>0</v>
      </c>
    </row>
    <row r="84" spans="4:18" x14ac:dyDescent="0.25">
      <c r="D84" s="3" t="s">
        <v>5</v>
      </c>
      <c r="F84" s="6">
        <f>AVERAGE(F9:F77)</f>
        <v>5.8405797101449277</v>
      </c>
      <c r="G84" s="6">
        <f t="shared" ref="G84:H84" si="2">AVERAGE(G9:G77)</f>
        <v>-5.0144927536231885</v>
      </c>
      <c r="H84" s="6">
        <f t="shared" si="2"/>
        <v>-15.681159420289855</v>
      </c>
      <c r="N84" s="3" t="s">
        <v>5</v>
      </c>
      <c r="P84" s="6" t="e">
        <f>AVERAGE(P9:P77)</f>
        <v>#DIV/0!</v>
      </c>
      <c r="Q84" s="6" t="e">
        <f t="shared" ref="Q84:R84" si="3">AVERAGE(Q9:Q77)</f>
        <v>#DIV/0!</v>
      </c>
      <c r="R84" s="6" t="e">
        <f t="shared" si="3"/>
        <v>#DIV/0!</v>
      </c>
    </row>
    <row r="85" spans="4:18" x14ac:dyDescent="0.25">
      <c r="D85" s="3" t="s">
        <v>26</v>
      </c>
      <c r="F85" s="6">
        <f>STDEV(F9:F77)</f>
        <v>3.4794488593563755</v>
      </c>
      <c r="G85" s="6">
        <f t="shared" ref="G85:H85" si="4">STDEV(G9:G77)</f>
        <v>2.6429303791279302</v>
      </c>
      <c r="H85" s="6">
        <f t="shared" si="4"/>
        <v>3.3054889894697168</v>
      </c>
      <c r="N85" s="3" t="s">
        <v>26</v>
      </c>
      <c r="P85" s="6" t="e">
        <f>STDEV(P9:P77)</f>
        <v>#DIV/0!</v>
      </c>
      <c r="Q85" s="6" t="e">
        <f t="shared" ref="Q85:R85" si="5">STDEV(Q9:Q77)</f>
        <v>#DIV/0!</v>
      </c>
      <c r="R85" s="6" t="e">
        <f t="shared" si="5"/>
        <v>#DIV/0!</v>
      </c>
    </row>
  </sheetData>
  <hyperlinks>
    <hyperlink ref="B2" r:id="rId1" xr:uid="{66BE2DC5-612E-A245-A9BE-F33B2263E8B5}"/>
  </hyperlinks>
  <pageMargins left="0.7" right="0.7" top="0.75" bottom="0.75" header="0.3" footer="0.3"/>
  <pageSetup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5"/>
  <sheetViews>
    <sheetView topLeftCell="A28" zoomScale="137" workbookViewId="0">
      <selection activeCell="G11" sqref="G11"/>
    </sheetView>
  </sheetViews>
  <sheetFormatPr defaultColWidth="8.85546875" defaultRowHeight="15" x14ac:dyDescent="0.25"/>
  <cols>
    <col min="1" max="1" width="15" customWidth="1"/>
    <col min="9" max="9" width="28.85546875" customWidth="1"/>
    <col min="15" max="15" width="5.85546875" customWidth="1"/>
    <col min="16" max="16" width="12.42578125" customWidth="1"/>
    <col min="17" max="17" width="16.28515625" customWidth="1"/>
    <col min="18" max="18" width="13.140625" customWidth="1"/>
  </cols>
  <sheetData>
    <row r="1" spans="1:19" x14ac:dyDescent="0.25">
      <c r="A1" t="s">
        <v>0</v>
      </c>
      <c r="B1" t="s">
        <v>29</v>
      </c>
      <c r="E1" t="s">
        <v>14</v>
      </c>
      <c r="F1" t="s">
        <v>20</v>
      </c>
      <c r="J1" t="s">
        <v>10</v>
      </c>
    </row>
    <row r="2" spans="1:19" x14ac:dyDescent="0.25">
      <c r="A2" t="s">
        <v>11</v>
      </c>
      <c r="B2" s="7" t="s">
        <v>54</v>
      </c>
    </row>
    <row r="4" spans="1:19" x14ac:dyDescent="0.25">
      <c r="C4" s="4" t="s">
        <v>2</v>
      </c>
      <c r="G4" s="4" t="s">
        <v>8</v>
      </c>
      <c r="Q4" s="4" t="s">
        <v>16</v>
      </c>
    </row>
    <row r="5" spans="1:19" x14ac:dyDescent="0.25">
      <c r="J5" t="s">
        <v>9</v>
      </c>
      <c r="K5" t="s">
        <v>9</v>
      </c>
      <c r="L5" t="s">
        <v>9</v>
      </c>
    </row>
    <row r="6" spans="1:19" x14ac:dyDescent="0.25">
      <c r="F6" s="2" t="s">
        <v>5</v>
      </c>
      <c r="G6" s="2" t="s">
        <v>5</v>
      </c>
      <c r="H6" s="2" t="s">
        <v>5</v>
      </c>
      <c r="I6" t="s">
        <v>23</v>
      </c>
      <c r="J6" s="2" t="s">
        <v>5</v>
      </c>
      <c r="K6" s="2" t="s">
        <v>5</v>
      </c>
      <c r="L6" s="2" t="s">
        <v>5</v>
      </c>
      <c r="M6" s="2"/>
      <c r="P6" s="2" t="s">
        <v>17</v>
      </c>
      <c r="Q6" s="2" t="s">
        <v>12</v>
      </c>
      <c r="R6" s="2" t="s">
        <v>19</v>
      </c>
    </row>
    <row r="7" spans="1:19" x14ac:dyDescent="0.25">
      <c r="C7" t="s">
        <v>1</v>
      </c>
      <c r="D7" t="s">
        <v>3</v>
      </c>
      <c r="F7" s="2" t="s">
        <v>4</v>
      </c>
      <c r="G7" s="2" t="s">
        <v>6</v>
      </c>
      <c r="H7" s="2" t="s">
        <v>7</v>
      </c>
      <c r="I7" s="2" t="s">
        <v>53</v>
      </c>
      <c r="J7" s="2" t="s">
        <v>4</v>
      </c>
      <c r="K7" s="2" t="s">
        <v>6</v>
      </c>
      <c r="L7" s="2" t="s">
        <v>7</v>
      </c>
      <c r="M7" s="2"/>
      <c r="N7" t="s">
        <v>3</v>
      </c>
      <c r="P7" s="2" t="s">
        <v>27</v>
      </c>
      <c r="Q7" s="2" t="s">
        <v>18</v>
      </c>
      <c r="R7" s="2" t="s">
        <v>28</v>
      </c>
    </row>
    <row r="8" spans="1:19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5">
      <c r="C9">
        <v>1950</v>
      </c>
      <c r="D9">
        <v>1950</v>
      </c>
      <c r="F9">
        <v>18</v>
      </c>
      <c r="G9">
        <v>5</v>
      </c>
      <c r="H9">
        <v>-3</v>
      </c>
      <c r="J9">
        <f>SUM(F9:F18)/10</f>
        <v>17.100000000000001</v>
      </c>
      <c r="K9">
        <f>SUM(G9:G18)/10</f>
        <v>7.2</v>
      </c>
      <c r="L9">
        <f>SUM(H9:H18)/10</f>
        <v>-2</v>
      </c>
      <c r="N9">
        <v>1950</v>
      </c>
    </row>
    <row r="10" spans="1:19" x14ac:dyDescent="0.25">
      <c r="D10">
        <v>1951</v>
      </c>
      <c r="F10">
        <v>16</v>
      </c>
      <c r="G10">
        <v>8</v>
      </c>
      <c r="H10">
        <v>3</v>
      </c>
      <c r="N10">
        <v>1951</v>
      </c>
    </row>
    <row r="11" spans="1:19" x14ac:dyDescent="0.25">
      <c r="D11">
        <v>1952</v>
      </c>
      <c r="F11">
        <v>17</v>
      </c>
      <c r="G11">
        <v>8</v>
      </c>
      <c r="H11">
        <v>-1</v>
      </c>
      <c r="N11">
        <v>1952</v>
      </c>
    </row>
    <row r="12" spans="1:19" x14ac:dyDescent="0.25">
      <c r="D12">
        <v>1953</v>
      </c>
      <c r="F12">
        <v>15</v>
      </c>
      <c r="G12">
        <v>6</v>
      </c>
      <c r="H12">
        <v>-1</v>
      </c>
      <c r="N12">
        <v>1953</v>
      </c>
    </row>
    <row r="13" spans="1:19" x14ac:dyDescent="0.25">
      <c r="D13">
        <v>1954</v>
      </c>
      <c r="F13">
        <v>20</v>
      </c>
      <c r="G13">
        <v>8</v>
      </c>
      <c r="H13">
        <v>-9</v>
      </c>
      <c r="N13">
        <v>1954</v>
      </c>
    </row>
    <row r="14" spans="1:19" x14ac:dyDescent="0.25">
      <c r="D14">
        <v>1955</v>
      </c>
      <c r="F14">
        <v>16</v>
      </c>
      <c r="G14">
        <v>9</v>
      </c>
      <c r="H14">
        <v>-1</v>
      </c>
      <c r="N14">
        <v>1955</v>
      </c>
    </row>
    <row r="15" spans="1:19" x14ac:dyDescent="0.25">
      <c r="D15">
        <v>1956</v>
      </c>
      <c r="F15">
        <v>16</v>
      </c>
      <c r="G15">
        <v>5</v>
      </c>
      <c r="H15">
        <v>-2</v>
      </c>
      <c r="N15">
        <v>1956</v>
      </c>
    </row>
    <row r="16" spans="1:19" x14ac:dyDescent="0.25">
      <c r="D16">
        <v>1957</v>
      </c>
      <c r="F16">
        <v>20</v>
      </c>
      <c r="G16">
        <v>8</v>
      </c>
      <c r="H16">
        <v>-3</v>
      </c>
      <c r="N16">
        <v>1957</v>
      </c>
    </row>
    <row r="17" spans="3:14" x14ac:dyDescent="0.25">
      <c r="D17">
        <v>1958</v>
      </c>
      <c r="F17">
        <v>17</v>
      </c>
      <c r="G17">
        <v>7</v>
      </c>
      <c r="H17">
        <v>-3</v>
      </c>
      <c r="N17">
        <v>1958</v>
      </c>
    </row>
    <row r="18" spans="3:14" x14ac:dyDescent="0.25">
      <c r="D18">
        <v>1959</v>
      </c>
      <c r="F18">
        <v>16</v>
      </c>
      <c r="G18">
        <v>8</v>
      </c>
      <c r="H18">
        <v>0</v>
      </c>
      <c r="N18">
        <v>1959</v>
      </c>
    </row>
    <row r="19" spans="3:14" x14ac:dyDescent="0.25">
      <c r="C19">
        <v>1960</v>
      </c>
      <c r="D19">
        <v>1960</v>
      </c>
      <c r="F19">
        <v>21</v>
      </c>
      <c r="G19">
        <v>9</v>
      </c>
      <c r="H19">
        <v>-1</v>
      </c>
      <c r="J19">
        <f>SUM(F19:F28)/10</f>
        <v>17.5</v>
      </c>
      <c r="K19">
        <f>SUM(G19:G28)/10</f>
        <v>6.6</v>
      </c>
      <c r="L19">
        <f>SUM(H19:H28)/10</f>
        <v>-1.7</v>
      </c>
      <c r="N19">
        <v>1960</v>
      </c>
    </row>
    <row r="20" spans="3:14" x14ac:dyDescent="0.25">
      <c r="D20">
        <v>1961</v>
      </c>
      <c r="F20">
        <v>13</v>
      </c>
      <c r="G20">
        <v>4</v>
      </c>
      <c r="H20">
        <v>-1</v>
      </c>
      <c r="N20">
        <v>1961</v>
      </c>
    </row>
    <row r="21" spans="3:14" x14ac:dyDescent="0.25">
      <c r="D21">
        <v>1962</v>
      </c>
      <c r="F21">
        <v>23</v>
      </c>
      <c r="G21">
        <v>7</v>
      </c>
      <c r="H21">
        <v>-3</v>
      </c>
      <c r="N21">
        <v>1962</v>
      </c>
    </row>
    <row r="22" spans="3:14" x14ac:dyDescent="0.25">
      <c r="D22">
        <v>1963</v>
      </c>
      <c r="F22">
        <v>21</v>
      </c>
      <c r="G22">
        <v>7</v>
      </c>
      <c r="H22">
        <v>-1</v>
      </c>
      <c r="N22">
        <v>1963</v>
      </c>
    </row>
    <row r="23" spans="3:14" x14ac:dyDescent="0.25">
      <c r="D23">
        <v>1964</v>
      </c>
      <c r="F23">
        <v>16</v>
      </c>
      <c r="G23">
        <v>6</v>
      </c>
      <c r="H23">
        <v>-5</v>
      </c>
      <c r="N23">
        <v>1964</v>
      </c>
    </row>
    <row r="24" spans="3:14" x14ac:dyDescent="0.25">
      <c r="D24">
        <v>1965</v>
      </c>
      <c r="F24">
        <v>13</v>
      </c>
      <c r="G24">
        <v>4</v>
      </c>
      <c r="H24">
        <v>-3</v>
      </c>
      <c r="N24">
        <v>1965</v>
      </c>
    </row>
    <row r="25" spans="3:14" x14ac:dyDescent="0.25">
      <c r="D25">
        <v>1966</v>
      </c>
      <c r="F25">
        <v>14</v>
      </c>
      <c r="G25">
        <v>5</v>
      </c>
      <c r="H25">
        <v>0</v>
      </c>
      <c r="N25">
        <v>1966</v>
      </c>
    </row>
    <row r="26" spans="3:14" x14ac:dyDescent="0.25">
      <c r="D26">
        <v>1967</v>
      </c>
      <c r="F26">
        <v>17</v>
      </c>
      <c r="G26">
        <v>6</v>
      </c>
      <c r="H26">
        <v>-3</v>
      </c>
      <c r="N26">
        <v>1967</v>
      </c>
    </row>
    <row r="27" spans="3:14" x14ac:dyDescent="0.25">
      <c r="D27">
        <v>1968</v>
      </c>
      <c r="F27">
        <v>19</v>
      </c>
      <c r="G27">
        <v>9</v>
      </c>
      <c r="H27">
        <v>1</v>
      </c>
      <c r="N27">
        <v>1968</v>
      </c>
    </row>
    <row r="28" spans="3:14" x14ac:dyDescent="0.25">
      <c r="D28">
        <v>1969</v>
      </c>
      <c r="F28">
        <v>18</v>
      </c>
      <c r="G28">
        <v>9</v>
      </c>
      <c r="H28">
        <v>-1</v>
      </c>
      <c r="N28">
        <v>1969</v>
      </c>
    </row>
    <row r="29" spans="3:14" x14ac:dyDescent="0.25">
      <c r="C29">
        <v>1970</v>
      </c>
      <c r="D29">
        <v>1970</v>
      </c>
      <c r="F29">
        <v>21</v>
      </c>
      <c r="G29">
        <v>7</v>
      </c>
      <c r="H29">
        <v>-4</v>
      </c>
      <c r="J29">
        <f>SUM(F29:F38)/10</f>
        <v>17.899999999999999</v>
      </c>
      <c r="K29">
        <f>SUM(G29:G38)/10</f>
        <v>6.1</v>
      </c>
      <c r="L29">
        <f>SUM(H29:H38)/10</f>
        <v>-3.7</v>
      </c>
      <c r="N29">
        <v>1970</v>
      </c>
    </row>
    <row r="30" spans="3:14" x14ac:dyDescent="0.25">
      <c r="D30">
        <v>1971</v>
      </c>
      <c r="F30">
        <v>15</v>
      </c>
      <c r="G30">
        <v>5</v>
      </c>
      <c r="H30">
        <v>-1</v>
      </c>
      <c r="N30">
        <v>1971</v>
      </c>
    </row>
    <row r="31" spans="3:14" x14ac:dyDescent="0.25">
      <c r="D31">
        <v>1972</v>
      </c>
      <c r="F31">
        <v>17</v>
      </c>
      <c r="G31">
        <v>4</v>
      </c>
      <c r="H31">
        <v>-7</v>
      </c>
      <c r="N31">
        <v>1972</v>
      </c>
    </row>
    <row r="32" spans="3:14" x14ac:dyDescent="0.25">
      <c r="D32">
        <v>1973</v>
      </c>
      <c r="F32">
        <v>19</v>
      </c>
      <c r="G32">
        <v>7</v>
      </c>
      <c r="H32">
        <v>-2</v>
      </c>
      <c r="N32" t="s">
        <v>36</v>
      </c>
    </row>
    <row r="33" spans="3:14" x14ac:dyDescent="0.25">
      <c r="D33">
        <v>1974</v>
      </c>
      <c r="F33">
        <v>22</v>
      </c>
      <c r="G33">
        <v>9</v>
      </c>
      <c r="H33">
        <v>-2</v>
      </c>
      <c r="N33">
        <v>1974</v>
      </c>
    </row>
    <row r="34" spans="3:14" x14ac:dyDescent="0.25">
      <c r="D34">
        <v>1975</v>
      </c>
      <c r="F34">
        <v>13</v>
      </c>
      <c r="G34">
        <v>3</v>
      </c>
      <c r="H34">
        <v>-7</v>
      </c>
      <c r="N34">
        <v>1975</v>
      </c>
    </row>
    <row r="35" spans="3:14" x14ac:dyDescent="0.25">
      <c r="D35">
        <v>1976</v>
      </c>
      <c r="F35">
        <v>23</v>
      </c>
      <c r="G35">
        <v>8</v>
      </c>
      <c r="H35">
        <v>-4</v>
      </c>
      <c r="N35" t="s">
        <v>37</v>
      </c>
    </row>
    <row r="36" spans="3:14" x14ac:dyDescent="0.25">
      <c r="D36">
        <v>1977</v>
      </c>
      <c r="F36">
        <v>21</v>
      </c>
      <c r="G36">
        <v>8</v>
      </c>
      <c r="H36">
        <v>-3</v>
      </c>
      <c r="N36" t="s">
        <v>38</v>
      </c>
    </row>
    <row r="37" spans="3:14" x14ac:dyDescent="0.25">
      <c r="D37">
        <v>1978</v>
      </c>
      <c r="F37">
        <v>11</v>
      </c>
      <c r="G37">
        <v>5</v>
      </c>
      <c r="H37">
        <v>-3</v>
      </c>
      <c r="N37" t="s">
        <v>39</v>
      </c>
    </row>
    <row r="38" spans="3:14" x14ac:dyDescent="0.25">
      <c r="D38">
        <v>1979</v>
      </c>
      <c r="F38">
        <v>17</v>
      </c>
      <c r="G38">
        <v>5</v>
      </c>
      <c r="H38">
        <v>-4</v>
      </c>
      <c r="N38" t="s">
        <v>40</v>
      </c>
    </row>
    <row r="39" spans="3:14" x14ac:dyDescent="0.25">
      <c r="C39">
        <v>1980</v>
      </c>
      <c r="D39">
        <v>1980</v>
      </c>
      <c r="F39">
        <v>13</v>
      </c>
      <c r="G39">
        <v>7</v>
      </c>
      <c r="H39">
        <v>-1</v>
      </c>
      <c r="J39">
        <f>SUM(F39:F48)/10</f>
        <v>16.5</v>
      </c>
      <c r="K39">
        <f>SUM(G39:G48)/10</f>
        <v>6.4</v>
      </c>
      <c r="L39">
        <f>SUM(H39:H48)/10</f>
        <v>-1.9</v>
      </c>
      <c r="N39" t="s">
        <v>31</v>
      </c>
    </row>
    <row r="40" spans="3:14" x14ac:dyDescent="0.25">
      <c r="D40">
        <v>1981</v>
      </c>
      <c r="F40">
        <v>19</v>
      </c>
      <c r="G40">
        <v>8</v>
      </c>
      <c r="H40">
        <v>-1</v>
      </c>
      <c r="N40" t="s">
        <v>32</v>
      </c>
    </row>
    <row r="41" spans="3:14" x14ac:dyDescent="0.25">
      <c r="D41">
        <v>1982</v>
      </c>
      <c r="F41">
        <v>17</v>
      </c>
      <c r="G41">
        <v>5</v>
      </c>
      <c r="H41">
        <v>-8</v>
      </c>
      <c r="N41" t="s">
        <v>41</v>
      </c>
    </row>
    <row r="42" spans="3:14" x14ac:dyDescent="0.25">
      <c r="D42">
        <v>1983</v>
      </c>
      <c r="F42">
        <v>18</v>
      </c>
      <c r="G42">
        <v>5</v>
      </c>
      <c r="H42">
        <v>-2</v>
      </c>
      <c r="N42" t="s">
        <v>33</v>
      </c>
    </row>
    <row r="43" spans="3:14" x14ac:dyDescent="0.25">
      <c r="D43">
        <v>1984</v>
      </c>
      <c r="F43">
        <v>17</v>
      </c>
      <c r="G43">
        <v>6</v>
      </c>
      <c r="H43">
        <v>1</v>
      </c>
      <c r="N43" t="s">
        <v>42</v>
      </c>
    </row>
    <row r="44" spans="3:14" x14ac:dyDescent="0.25">
      <c r="D44">
        <v>1985</v>
      </c>
      <c r="F44">
        <v>22</v>
      </c>
      <c r="G44">
        <v>8</v>
      </c>
      <c r="H44">
        <v>-3</v>
      </c>
      <c r="N44" t="s">
        <v>43</v>
      </c>
    </row>
    <row r="45" spans="3:14" x14ac:dyDescent="0.25">
      <c r="D45">
        <v>1986</v>
      </c>
      <c r="F45">
        <v>18</v>
      </c>
      <c r="G45">
        <v>8</v>
      </c>
      <c r="H45">
        <v>-1</v>
      </c>
      <c r="N45" t="s">
        <v>34</v>
      </c>
    </row>
    <row r="46" spans="3:14" x14ac:dyDescent="0.25">
      <c r="D46">
        <v>1987</v>
      </c>
      <c r="F46">
        <v>19</v>
      </c>
      <c r="G46">
        <v>8</v>
      </c>
      <c r="H46">
        <v>-2</v>
      </c>
      <c r="N46" t="s">
        <v>45</v>
      </c>
    </row>
    <row r="47" spans="3:14" x14ac:dyDescent="0.25">
      <c r="D47">
        <v>1988</v>
      </c>
      <c r="F47">
        <v>11</v>
      </c>
      <c r="G47">
        <v>5</v>
      </c>
      <c r="H47">
        <v>0</v>
      </c>
      <c r="N47" t="s">
        <v>48</v>
      </c>
    </row>
    <row r="48" spans="3:14" x14ac:dyDescent="0.25">
      <c r="D48">
        <v>1989</v>
      </c>
      <c r="F48">
        <v>11</v>
      </c>
      <c r="G48">
        <v>4</v>
      </c>
      <c r="H48">
        <v>-2</v>
      </c>
      <c r="N48">
        <v>1989</v>
      </c>
    </row>
    <row r="49" spans="3:14" x14ac:dyDescent="0.25">
      <c r="C49">
        <v>1990</v>
      </c>
      <c r="D49">
        <v>1990</v>
      </c>
      <c r="F49">
        <v>23</v>
      </c>
      <c r="G49">
        <v>8</v>
      </c>
      <c r="H49">
        <v>-2</v>
      </c>
      <c r="J49">
        <f>SUM(F49:F58)/10</f>
        <v>16.899999999999999</v>
      </c>
      <c r="K49">
        <f>SUM(G49:G58)/10</f>
        <v>6.7</v>
      </c>
      <c r="L49">
        <f>SUM(H49:H58)/10</f>
        <v>-1.8</v>
      </c>
      <c r="N49" t="s">
        <v>46</v>
      </c>
    </row>
    <row r="50" spans="3:14" x14ac:dyDescent="0.25">
      <c r="D50">
        <v>1991</v>
      </c>
      <c r="F50">
        <v>20</v>
      </c>
      <c r="G50">
        <v>9</v>
      </c>
      <c r="H50">
        <v>0</v>
      </c>
      <c r="N50" t="s">
        <v>49</v>
      </c>
    </row>
    <row r="51" spans="3:14" x14ac:dyDescent="0.25">
      <c r="D51">
        <v>1992</v>
      </c>
      <c r="F51">
        <v>16</v>
      </c>
      <c r="G51">
        <v>6</v>
      </c>
      <c r="H51">
        <v>-2</v>
      </c>
      <c r="N51" t="s">
        <v>35</v>
      </c>
    </row>
    <row r="52" spans="3:14" x14ac:dyDescent="0.25">
      <c r="D52">
        <v>1993</v>
      </c>
      <c r="F52">
        <v>16</v>
      </c>
      <c r="G52">
        <v>6</v>
      </c>
      <c r="H52">
        <v>-1</v>
      </c>
      <c r="N52" t="s">
        <v>47</v>
      </c>
    </row>
    <row r="53" spans="3:14" x14ac:dyDescent="0.25">
      <c r="D53">
        <v>1994</v>
      </c>
      <c r="F53">
        <v>20</v>
      </c>
      <c r="G53">
        <v>8</v>
      </c>
      <c r="H53">
        <v>0</v>
      </c>
      <c r="N53">
        <v>1994</v>
      </c>
    </row>
    <row r="54" spans="3:14" x14ac:dyDescent="0.25">
      <c r="D54">
        <v>1995</v>
      </c>
      <c r="F54">
        <v>15</v>
      </c>
      <c r="G54">
        <v>5</v>
      </c>
      <c r="H54">
        <v>-7</v>
      </c>
      <c r="N54">
        <v>1995</v>
      </c>
    </row>
    <row r="55" spans="3:14" x14ac:dyDescent="0.25">
      <c r="D55">
        <v>1996</v>
      </c>
      <c r="F55">
        <v>14</v>
      </c>
      <c r="G55">
        <v>4</v>
      </c>
      <c r="H55">
        <v>-2</v>
      </c>
      <c r="N55">
        <v>1996</v>
      </c>
    </row>
    <row r="56" spans="3:14" x14ac:dyDescent="0.25">
      <c r="D56">
        <v>1997</v>
      </c>
      <c r="F56">
        <v>15</v>
      </c>
      <c r="G56">
        <v>6</v>
      </c>
      <c r="H56">
        <v>-6</v>
      </c>
      <c r="N56">
        <v>1997</v>
      </c>
    </row>
    <row r="57" spans="3:14" x14ac:dyDescent="0.25">
      <c r="D57">
        <v>1998</v>
      </c>
      <c r="F57">
        <v>15</v>
      </c>
      <c r="G57">
        <v>8</v>
      </c>
      <c r="H57">
        <v>2</v>
      </c>
      <c r="N57">
        <v>1998</v>
      </c>
    </row>
    <row r="58" spans="3:14" x14ac:dyDescent="0.25">
      <c r="D58">
        <v>1999</v>
      </c>
      <c r="F58">
        <v>15</v>
      </c>
      <c r="G58">
        <v>7</v>
      </c>
      <c r="H58">
        <v>0</v>
      </c>
      <c r="N58">
        <v>1999</v>
      </c>
    </row>
    <row r="59" spans="3:14" x14ac:dyDescent="0.25">
      <c r="C59">
        <v>2000</v>
      </c>
      <c r="D59">
        <v>2000</v>
      </c>
      <c r="F59">
        <v>14</v>
      </c>
      <c r="G59">
        <v>6</v>
      </c>
      <c r="H59">
        <v>-3</v>
      </c>
      <c r="J59">
        <f>SUM(F59:F68)/10</f>
        <v>19.399999999999999</v>
      </c>
      <c r="K59">
        <f>SUM(G59:G68)/10</f>
        <v>7.6</v>
      </c>
      <c r="L59">
        <f>SUM(H59:H68)/10</f>
        <v>-2.2999999999999998</v>
      </c>
      <c r="N59">
        <v>2000</v>
      </c>
    </row>
    <row r="60" spans="3:14" x14ac:dyDescent="0.25">
      <c r="D60">
        <v>2001</v>
      </c>
      <c r="F60">
        <v>21</v>
      </c>
      <c r="G60">
        <v>8</v>
      </c>
      <c r="H60">
        <v>-1</v>
      </c>
      <c r="N60">
        <v>2001</v>
      </c>
    </row>
    <row r="61" spans="3:14" x14ac:dyDescent="0.25">
      <c r="D61">
        <v>2002</v>
      </c>
      <c r="F61">
        <v>24</v>
      </c>
      <c r="G61">
        <v>8</v>
      </c>
      <c r="H61">
        <v>-3</v>
      </c>
      <c r="N61">
        <v>2002</v>
      </c>
    </row>
    <row r="62" spans="3:14" x14ac:dyDescent="0.25">
      <c r="D62">
        <v>2003</v>
      </c>
      <c r="F62">
        <v>19</v>
      </c>
      <c r="G62">
        <v>6</v>
      </c>
      <c r="H62">
        <v>-4</v>
      </c>
      <c r="N62">
        <v>2003</v>
      </c>
    </row>
    <row r="63" spans="3:14" x14ac:dyDescent="0.25">
      <c r="D63">
        <v>2004</v>
      </c>
      <c r="F63">
        <v>19</v>
      </c>
      <c r="G63">
        <v>7</v>
      </c>
      <c r="H63">
        <v>-6</v>
      </c>
      <c r="N63">
        <v>2004</v>
      </c>
    </row>
    <row r="64" spans="3:14" x14ac:dyDescent="0.25">
      <c r="D64">
        <v>2005</v>
      </c>
      <c r="F64">
        <v>17</v>
      </c>
      <c r="G64">
        <v>9</v>
      </c>
      <c r="H64">
        <v>2</v>
      </c>
      <c r="N64">
        <v>2005</v>
      </c>
    </row>
    <row r="65" spans="3:14" x14ac:dyDescent="0.25">
      <c r="D65">
        <v>2006</v>
      </c>
      <c r="F65">
        <v>15</v>
      </c>
      <c r="G65">
        <v>8</v>
      </c>
      <c r="H65">
        <v>-1</v>
      </c>
      <c r="N65">
        <v>2006</v>
      </c>
    </row>
    <row r="66" spans="3:14" x14ac:dyDescent="0.25">
      <c r="D66">
        <v>2007</v>
      </c>
      <c r="F66">
        <v>20</v>
      </c>
      <c r="G66">
        <v>5</v>
      </c>
      <c r="H66">
        <v>-5</v>
      </c>
      <c r="N66">
        <v>2007</v>
      </c>
    </row>
    <row r="67" spans="3:14" x14ac:dyDescent="0.25">
      <c r="D67">
        <v>2008</v>
      </c>
      <c r="F67">
        <v>20</v>
      </c>
      <c r="G67">
        <v>10</v>
      </c>
      <c r="H67">
        <v>-1</v>
      </c>
      <c r="N67">
        <v>2008</v>
      </c>
    </row>
    <row r="68" spans="3:14" x14ac:dyDescent="0.25">
      <c r="D68">
        <v>2009</v>
      </c>
      <c r="F68">
        <v>25</v>
      </c>
      <c r="G68">
        <v>9</v>
      </c>
      <c r="H68">
        <v>-1</v>
      </c>
      <c r="N68">
        <v>2009</v>
      </c>
    </row>
    <row r="69" spans="3:14" x14ac:dyDescent="0.25">
      <c r="C69">
        <v>2010</v>
      </c>
      <c r="D69">
        <v>2010</v>
      </c>
      <c r="F69">
        <v>21</v>
      </c>
      <c r="G69">
        <v>10</v>
      </c>
      <c r="H69">
        <v>3</v>
      </c>
      <c r="J69">
        <f>SUM(F69:F78)/10</f>
        <v>15.439423768714656</v>
      </c>
      <c r="K69">
        <f>SUM(G69:G78)/10</f>
        <v>6.4208795680300241</v>
      </c>
      <c r="L69">
        <f>SUM(H69:H78)/10</f>
        <v>-1.4695428978037386</v>
      </c>
      <c r="N69">
        <v>2010</v>
      </c>
    </row>
    <row r="70" spans="3:14" x14ac:dyDescent="0.25">
      <c r="D70">
        <v>2011</v>
      </c>
      <c r="F70">
        <v>18</v>
      </c>
      <c r="G70">
        <v>7</v>
      </c>
      <c r="H70">
        <v>1</v>
      </c>
      <c r="N70">
        <v>2011</v>
      </c>
    </row>
    <row r="71" spans="3:14" x14ac:dyDescent="0.25">
      <c r="D71">
        <v>2012</v>
      </c>
      <c r="F71">
        <v>22</v>
      </c>
      <c r="G71">
        <v>7</v>
      </c>
      <c r="H71">
        <v>1</v>
      </c>
      <c r="N71">
        <v>2012</v>
      </c>
    </row>
    <row r="72" spans="3:14" x14ac:dyDescent="0.25">
      <c r="D72">
        <v>2013</v>
      </c>
      <c r="F72">
        <v>14</v>
      </c>
      <c r="G72">
        <v>7</v>
      </c>
      <c r="H72">
        <v>-4</v>
      </c>
      <c r="N72">
        <v>2013</v>
      </c>
    </row>
    <row r="73" spans="3:14" x14ac:dyDescent="0.25">
      <c r="D73">
        <v>2014</v>
      </c>
      <c r="F73">
        <v>19</v>
      </c>
      <c r="G73">
        <v>7</v>
      </c>
      <c r="H73">
        <v>-4</v>
      </c>
      <c r="N73">
        <v>2014</v>
      </c>
    </row>
    <row r="74" spans="3:14" x14ac:dyDescent="0.25">
      <c r="D74">
        <v>2015</v>
      </c>
      <c r="F74">
        <v>15</v>
      </c>
      <c r="G74">
        <v>7</v>
      </c>
      <c r="H74">
        <v>-1</v>
      </c>
      <c r="N74">
        <v>2015</v>
      </c>
    </row>
    <row r="75" spans="3:14" x14ac:dyDescent="0.25">
      <c r="D75">
        <v>2016</v>
      </c>
      <c r="F75">
        <v>15</v>
      </c>
      <c r="G75">
        <v>6</v>
      </c>
      <c r="H75">
        <v>-7</v>
      </c>
      <c r="N75">
        <v>2016</v>
      </c>
    </row>
    <row r="76" spans="3:14" x14ac:dyDescent="0.25">
      <c r="D76">
        <v>2017</v>
      </c>
      <c r="F76">
        <v>17</v>
      </c>
      <c r="G76">
        <v>10</v>
      </c>
      <c r="H76">
        <v>0</v>
      </c>
      <c r="N76">
        <v>2017</v>
      </c>
    </row>
    <row r="77" spans="3:14" x14ac:dyDescent="0.25">
      <c r="D77">
        <v>2018</v>
      </c>
      <c r="F77">
        <v>13</v>
      </c>
      <c r="G77">
        <v>3</v>
      </c>
      <c r="H77">
        <v>-4</v>
      </c>
      <c r="N77">
        <v>2018</v>
      </c>
    </row>
    <row r="78" spans="3:14" x14ac:dyDescent="0.25">
      <c r="F78">
        <f>STDEV(F9:F77)/SQRT(69)</f>
        <v>0.39423768714655605</v>
      </c>
      <c r="G78">
        <f>STDEV(G9:G77)/SQRT(69)</f>
        <v>0.20879568030023446</v>
      </c>
      <c r="H78">
        <f>STDEV(H9:H77)/SQRT(69)</f>
        <v>0.3045710219626136</v>
      </c>
    </row>
    <row r="81" spans="4:18" x14ac:dyDescent="0.25">
      <c r="D81" s="4" t="s">
        <v>24</v>
      </c>
      <c r="N81" s="4" t="s">
        <v>24</v>
      </c>
    </row>
    <row r="83" spans="4:18" x14ac:dyDescent="0.25">
      <c r="D83" s="3" t="s">
        <v>25</v>
      </c>
      <c r="F83">
        <f>COUNT(F9:F77)</f>
        <v>69</v>
      </c>
      <c r="G83">
        <f t="shared" ref="G83:H83" si="0">COUNT(G9:G77)</f>
        <v>69</v>
      </c>
      <c r="H83">
        <f t="shared" si="0"/>
        <v>69</v>
      </c>
      <c r="N83" s="3" t="s">
        <v>25</v>
      </c>
      <c r="P83">
        <f t="shared" ref="P83:R83" si="1">COUNT(P9:P77)</f>
        <v>0</v>
      </c>
      <c r="Q83">
        <f t="shared" si="1"/>
        <v>0</v>
      </c>
      <c r="R83">
        <f t="shared" si="1"/>
        <v>0</v>
      </c>
    </row>
    <row r="84" spans="4:18" x14ac:dyDescent="0.25">
      <c r="D84" s="3" t="s">
        <v>5</v>
      </c>
      <c r="F84" s="6">
        <f>AVERAGE(F9:F77)</f>
        <v>17.492753623188406</v>
      </c>
      <c r="G84" s="6">
        <f t="shared" ref="G84:H84" si="2">AVERAGE(G9:G77)</f>
        <v>6.8115942028985508</v>
      </c>
      <c r="H84" s="6">
        <f t="shared" si="2"/>
        <v>-2.1594202898550723</v>
      </c>
      <c r="N84" s="3" t="s">
        <v>5</v>
      </c>
      <c r="P84" s="6" t="e">
        <f>AVERAGE(P9:P77)</f>
        <v>#DIV/0!</v>
      </c>
      <c r="Q84" s="6" t="e">
        <f t="shared" ref="Q84:R84" si="3">AVERAGE(Q9:Q77)</f>
        <v>#DIV/0!</v>
      </c>
      <c r="R84" s="6" t="e">
        <f t="shared" si="3"/>
        <v>#DIV/0!</v>
      </c>
    </row>
    <row r="85" spans="4:18" x14ac:dyDescent="0.25">
      <c r="D85" s="3" t="s">
        <v>26</v>
      </c>
      <c r="F85" s="6">
        <f>STDEV(F9:F77)</f>
        <v>3.2747841797132127</v>
      </c>
      <c r="G85" s="6">
        <f t="shared" ref="G85:H85" si="4">STDEV(G9:G77)</f>
        <v>1.734387180456141</v>
      </c>
      <c r="H85" s="6">
        <f t="shared" si="4"/>
        <v>2.5299569189879914</v>
      </c>
      <c r="N85" s="3" t="s">
        <v>26</v>
      </c>
      <c r="P85" s="6" t="e">
        <f>STDEV(P9:P77)</f>
        <v>#DIV/0!</v>
      </c>
      <c r="Q85" s="6" t="e">
        <f t="shared" ref="Q85:R85" si="5">STDEV(Q9:Q77)</f>
        <v>#DIV/0!</v>
      </c>
      <c r="R85" s="6" t="e">
        <f t="shared" si="5"/>
        <v>#DIV/0!</v>
      </c>
    </row>
  </sheetData>
  <hyperlinks>
    <hyperlink ref="B2" r:id="rId1" xr:uid="{6FB45711-DC5E-FB47-9BB9-DA0A5AAA8F21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5"/>
  <sheetViews>
    <sheetView tabSelected="1" topLeftCell="A31" zoomScale="170" workbookViewId="0">
      <selection activeCell="D43" sqref="D43"/>
    </sheetView>
  </sheetViews>
  <sheetFormatPr defaultColWidth="8.85546875" defaultRowHeight="15" x14ac:dyDescent="0.25"/>
  <cols>
    <col min="1" max="1" width="14.42578125" customWidth="1"/>
    <col min="4" max="4" width="12.7109375" customWidth="1"/>
    <col min="9" max="9" width="26.42578125" customWidth="1"/>
    <col min="15" max="15" width="5" customWidth="1"/>
    <col min="16" max="16" width="13.85546875" customWidth="1"/>
    <col min="17" max="17" width="17.7109375" customWidth="1"/>
    <col min="18" max="18" width="13.42578125" customWidth="1"/>
  </cols>
  <sheetData>
    <row r="1" spans="1:19" x14ac:dyDescent="0.25">
      <c r="A1" t="s">
        <v>0</v>
      </c>
      <c r="B1" t="s">
        <v>29</v>
      </c>
      <c r="E1" t="s">
        <v>14</v>
      </c>
      <c r="F1" t="s">
        <v>21</v>
      </c>
      <c r="J1" t="s">
        <v>10</v>
      </c>
    </row>
    <row r="2" spans="1:19" x14ac:dyDescent="0.25">
      <c r="A2" t="s">
        <v>11</v>
      </c>
      <c r="B2" s="7" t="s">
        <v>54</v>
      </c>
    </row>
    <row r="4" spans="1:19" x14ac:dyDescent="0.25">
      <c r="C4" s="4" t="s">
        <v>2</v>
      </c>
      <c r="G4" s="4" t="s">
        <v>8</v>
      </c>
      <c r="Q4" s="4" t="s">
        <v>16</v>
      </c>
    </row>
    <row r="5" spans="1:19" x14ac:dyDescent="0.25">
      <c r="J5" t="s">
        <v>9</v>
      </c>
      <c r="K5" t="s">
        <v>9</v>
      </c>
      <c r="L5" t="s">
        <v>9</v>
      </c>
    </row>
    <row r="6" spans="1:19" x14ac:dyDescent="0.25">
      <c r="F6" s="2" t="s">
        <v>5</v>
      </c>
      <c r="G6" s="2" t="s">
        <v>5</v>
      </c>
      <c r="H6" s="2" t="s">
        <v>5</v>
      </c>
      <c r="I6" t="s">
        <v>23</v>
      </c>
      <c r="J6" s="2" t="s">
        <v>5</v>
      </c>
      <c r="K6" s="2" t="s">
        <v>5</v>
      </c>
      <c r="L6" s="2" t="s">
        <v>5</v>
      </c>
      <c r="M6" s="2"/>
      <c r="P6" s="2" t="s">
        <v>17</v>
      </c>
      <c r="Q6" s="2" t="s">
        <v>12</v>
      </c>
      <c r="R6" s="2" t="s">
        <v>19</v>
      </c>
    </row>
    <row r="7" spans="1:19" x14ac:dyDescent="0.25">
      <c r="C7" t="s">
        <v>1</v>
      </c>
      <c r="D7" t="s">
        <v>3</v>
      </c>
      <c r="F7" s="2" t="s">
        <v>4</v>
      </c>
      <c r="G7" s="2" t="s">
        <v>6</v>
      </c>
      <c r="H7" s="2" t="s">
        <v>7</v>
      </c>
      <c r="I7" s="2" t="s">
        <v>53</v>
      </c>
      <c r="J7" s="2" t="s">
        <v>4</v>
      </c>
      <c r="K7" s="2" t="s">
        <v>6</v>
      </c>
      <c r="L7" s="2" t="s">
        <v>7</v>
      </c>
      <c r="M7" s="2"/>
      <c r="N7" t="s">
        <v>3</v>
      </c>
      <c r="P7" s="2" t="s">
        <v>27</v>
      </c>
      <c r="Q7" s="2" t="s">
        <v>18</v>
      </c>
      <c r="R7" s="2" t="s">
        <v>28</v>
      </c>
    </row>
    <row r="8" spans="1:19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5">
      <c r="C9">
        <v>1950</v>
      </c>
      <c r="D9">
        <v>1950</v>
      </c>
      <c r="F9">
        <v>24</v>
      </c>
      <c r="G9">
        <v>20</v>
      </c>
      <c r="H9">
        <v>16</v>
      </c>
      <c r="J9">
        <f>SUM(F9:F18)/10</f>
        <v>25.6</v>
      </c>
      <c r="K9">
        <f>SUM(G9:G18)/10</f>
        <v>20.7</v>
      </c>
      <c r="L9">
        <f>SUM(H9:H18)/10</f>
        <v>15.5</v>
      </c>
      <c r="N9">
        <v>1950</v>
      </c>
    </row>
    <row r="10" spans="1:19" x14ac:dyDescent="0.25">
      <c r="D10">
        <v>1951</v>
      </c>
      <c r="F10">
        <v>25</v>
      </c>
      <c r="G10">
        <v>21</v>
      </c>
      <c r="H10">
        <v>15</v>
      </c>
      <c r="N10">
        <v>1951</v>
      </c>
    </row>
    <row r="11" spans="1:19" x14ac:dyDescent="0.25">
      <c r="D11">
        <v>1952</v>
      </c>
      <c r="F11">
        <v>27</v>
      </c>
      <c r="G11">
        <v>22</v>
      </c>
      <c r="H11">
        <v>15</v>
      </c>
      <c r="N11">
        <v>1952</v>
      </c>
    </row>
    <row r="12" spans="1:19" x14ac:dyDescent="0.25">
      <c r="D12">
        <v>1953</v>
      </c>
      <c r="F12">
        <v>27</v>
      </c>
      <c r="G12">
        <v>21</v>
      </c>
      <c r="H12">
        <v>15</v>
      </c>
      <c r="N12">
        <v>1953</v>
      </c>
    </row>
    <row r="13" spans="1:19" x14ac:dyDescent="0.25">
      <c r="D13">
        <v>1954</v>
      </c>
      <c r="F13">
        <v>26</v>
      </c>
      <c r="G13">
        <v>20</v>
      </c>
      <c r="H13">
        <v>15</v>
      </c>
      <c r="N13">
        <v>1954</v>
      </c>
    </row>
    <row r="14" spans="1:19" x14ac:dyDescent="0.25">
      <c r="D14">
        <v>1955</v>
      </c>
      <c r="F14">
        <v>28</v>
      </c>
      <c r="G14">
        <v>23</v>
      </c>
      <c r="H14">
        <v>19</v>
      </c>
      <c r="N14">
        <v>1955</v>
      </c>
    </row>
    <row r="15" spans="1:19" x14ac:dyDescent="0.25">
      <c r="D15">
        <v>1956</v>
      </c>
      <c r="F15">
        <v>24</v>
      </c>
      <c r="G15">
        <v>18</v>
      </c>
      <c r="H15">
        <v>14</v>
      </c>
      <c r="N15">
        <v>1956</v>
      </c>
    </row>
    <row r="16" spans="1:19" x14ac:dyDescent="0.25">
      <c r="D16">
        <v>1957</v>
      </c>
      <c r="F16">
        <v>25</v>
      </c>
      <c r="G16">
        <v>20</v>
      </c>
      <c r="H16">
        <v>14</v>
      </c>
      <c r="N16">
        <v>1957</v>
      </c>
    </row>
    <row r="17" spans="3:14" x14ac:dyDescent="0.25">
      <c r="D17">
        <v>1958</v>
      </c>
      <c r="F17">
        <v>24</v>
      </c>
      <c r="G17">
        <v>20</v>
      </c>
      <c r="H17">
        <v>15</v>
      </c>
      <c r="N17">
        <v>1958</v>
      </c>
    </row>
    <row r="18" spans="3:14" x14ac:dyDescent="0.25">
      <c r="D18">
        <v>1959</v>
      </c>
      <c r="F18">
        <v>26</v>
      </c>
      <c r="G18">
        <v>22</v>
      </c>
      <c r="H18">
        <v>17</v>
      </c>
      <c r="N18">
        <v>1959</v>
      </c>
    </row>
    <row r="19" spans="3:14" x14ac:dyDescent="0.25">
      <c r="C19">
        <v>1960</v>
      </c>
      <c r="D19">
        <v>1960</v>
      </c>
      <c r="F19">
        <v>23</v>
      </c>
      <c r="G19">
        <v>19</v>
      </c>
      <c r="H19">
        <v>14</v>
      </c>
      <c r="J19">
        <f>SUM(F19:F28)/10</f>
        <v>24.8</v>
      </c>
      <c r="K19">
        <f>SUM(G19:G28)/10</f>
        <v>19.899999999999999</v>
      </c>
      <c r="L19">
        <f>SUM(H19:H28)/10</f>
        <v>14.5</v>
      </c>
      <c r="N19">
        <v>1960</v>
      </c>
    </row>
    <row r="20" spans="3:14" x14ac:dyDescent="0.25">
      <c r="D20">
        <v>1961</v>
      </c>
      <c r="F20">
        <v>24</v>
      </c>
      <c r="G20">
        <v>20</v>
      </c>
      <c r="H20">
        <v>14</v>
      </c>
      <c r="N20">
        <v>1961</v>
      </c>
    </row>
    <row r="21" spans="3:14" x14ac:dyDescent="0.25">
      <c r="D21">
        <v>1962</v>
      </c>
      <c r="F21">
        <v>24</v>
      </c>
      <c r="G21">
        <v>19</v>
      </c>
      <c r="H21">
        <v>15</v>
      </c>
      <c r="N21">
        <v>1962</v>
      </c>
    </row>
    <row r="22" spans="3:14" x14ac:dyDescent="0.25">
      <c r="D22">
        <v>1963</v>
      </c>
      <c r="F22">
        <v>26</v>
      </c>
      <c r="G22">
        <v>19</v>
      </c>
      <c r="H22">
        <v>12</v>
      </c>
      <c r="N22">
        <v>1963</v>
      </c>
    </row>
    <row r="23" spans="3:14" x14ac:dyDescent="0.25">
      <c r="D23">
        <v>1964</v>
      </c>
      <c r="F23">
        <v>26</v>
      </c>
      <c r="G23">
        <v>21</v>
      </c>
      <c r="H23">
        <v>17</v>
      </c>
      <c r="N23">
        <v>1964</v>
      </c>
    </row>
    <row r="24" spans="3:14" x14ac:dyDescent="0.25">
      <c r="D24">
        <v>1965</v>
      </c>
      <c r="F24">
        <v>24</v>
      </c>
      <c r="G24">
        <v>19</v>
      </c>
      <c r="H24">
        <v>14</v>
      </c>
      <c r="N24">
        <v>1965</v>
      </c>
    </row>
    <row r="25" spans="3:14" x14ac:dyDescent="0.25">
      <c r="D25">
        <v>1966</v>
      </c>
      <c r="F25">
        <v>27</v>
      </c>
      <c r="G25">
        <v>22</v>
      </c>
      <c r="H25">
        <v>16</v>
      </c>
      <c r="N25">
        <v>1966</v>
      </c>
    </row>
    <row r="26" spans="3:14" x14ac:dyDescent="0.25">
      <c r="D26">
        <v>1967</v>
      </c>
      <c r="F26">
        <v>23</v>
      </c>
      <c r="G26">
        <v>20</v>
      </c>
      <c r="H26">
        <v>13</v>
      </c>
      <c r="N26">
        <v>1967</v>
      </c>
    </row>
    <row r="27" spans="3:14" x14ac:dyDescent="0.25">
      <c r="D27">
        <v>1968</v>
      </c>
      <c r="F27">
        <v>26</v>
      </c>
      <c r="G27">
        <v>21</v>
      </c>
      <c r="H27">
        <v>15</v>
      </c>
      <c r="N27">
        <v>1968</v>
      </c>
    </row>
    <row r="28" spans="3:14" x14ac:dyDescent="0.25">
      <c r="D28">
        <v>1969</v>
      </c>
      <c r="F28">
        <v>25</v>
      </c>
      <c r="G28">
        <v>19</v>
      </c>
      <c r="H28">
        <v>15</v>
      </c>
      <c r="N28">
        <v>1969</v>
      </c>
    </row>
    <row r="29" spans="3:14" x14ac:dyDescent="0.25">
      <c r="C29">
        <v>1970</v>
      </c>
      <c r="D29">
        <v>1970</v>
      </c>
      <c r="F29">
        <v>24</v>
      </c>
      <c r="G29">
        <v>20</v>
      </c>
      <c r="H29">
        <v>16</v>
      </c>
      <c r="J29">
        <f>SUM(F29:F38)/10</f>
        <v>24.6</v>
      </c>
      <c r="K29">
        <f>SUM(G29:G38)/10</f>
        <v>19.2</v>
      </c>
      <c r="L29">
        <f>SUM(H29:H38)/10</f>
        <v>12.8</v>
      </c>
      <c r="N29">
        <v>1970</v>
      </c>
    </row>
    <row r="30" spans="3:14" x14ac:dyDescent="0.25">
      <c r="D30">
        <v>1971</v>
      </c>
      <c r="F30">
        <v>23</v>
      </c>
      <c r="G30">
        <v>19</v>
      </c>
      <c r="H30">
        <v>15</v>
      </c>
      <c r="N30">
        <v>1971</v>
      </c>
    </row>
    <row r="31" spans="3:14" x14ac:dyDescent="0.25">
      <c r="D31">
        <v>1972</v>
      </c>
      <c r="F31">
        <v>28</v>
      </c>
      <c r="G31">
        <v>22</v>
      </c>
      <c r="H31">
        <v>13</v>
      </c>
      <c r="N31">
        <v>1972</v>
      </c>
    </row>
    <row r="32" spans="3:14" x14ac:dyDescent="0.25">
      <c r="D32">
        <v>1973</v>
      </c>
      <c r="F32">
        <v>24</v>
      </c>
      <c r="G32">
        <v>20</v>
      </c>
      <c r="H32">
        <v>14</v>
      </c>
      <c r="N32">
        <v>1973</v>
      </c>
    </row>
    <row r="33" spans="3:14" x14ac:dyDescent="0.25">
      <c r="D33">
        <v>1974</v>
      </c>
      <c r="F33">
        <v>26</v>
      </c>
      <c r="G33">
        <v>20</v>
      </c>
      <c r="H33">
        <v>12</v>
      </c>
      <c r="N33" t="s">
        <v>50</v>
      </c>
    </row>
    <row r="34" spans="3:14" x14ac:dyDescent="0.25">
      <c r="D34">
        <v>1975</v>
      </c>
      <c r="F34">
        <v>25</v>
      </c>
      <c r="G34">
        <v>21</v>
      </c>
      <c r="H34">
        <v>16</v>
      </c>
      <c r="N34" t="s">
        <v>51</v>
      </c>
    </row>
    <row r="35" spans="3:14" x14ac:dyDescent="0.25">
      <c r="D35">
        <v>1976</v>
      </c>
      <c r="F35">
        <v>22</v>
      </c>
      <c r="G35">
        <v>15</v>
      </c>
      <c r="H35">
        <v>9</v>
      </c>
      <c r="N35" t="s">
        <v>37</v>
      </c>
    </row>
    <row r="36" spans="3:14" x14ac:dyDescent="0.25">
      <c r="D36">
        <v>1977</v>
      </c>
      <c r="F36">
        <v>25</v>
      </c>
      <c r="G36">
        <v>18</v>
      </c>
      <c r="H36">
        <v>12</v>
      </c>
      <c r="N36">
        <v>1977</v>
      </c>
    </row>
    <row r="37" spans="3:14" x14ac:dyDescent="0.25">
      <c r="D37">
        <v>1978</v>
      </c>
      <c r="F37">
        <v>24</v>
      </c>
      <c r="G37">
        <v>18</v>
      </c>
      <c r="H37">
        <v>11</v>
      </c>
      <c r="N37" t="s">
        <v>39</v>
      </c>
    </row>
    <row r="38" spans="3:14" x14ac:dyDescent="0.25">
      <c r="D38">
        <v>1979</v>
      </c>
      <c r="F38">
        <v>25</v>
      </c>
      <c r="G38">
        <v>19</v>
      </c>
      <c r="H38">
        <v>10</v>
      </c>
      <c r="N38" t="s">
        <v>40</v>
      </c>
    </row>
    <row r="39" spans="3:14" x14ac:dyDescent="0.25">
      <c r="C39">
        <v>1980</v>
      </c>
      <c r="D39">
        <v>1980</v>
      </c>
      <c r="F39">
        <v>27</v>
      </c>
      <c r="G39">
        <v>20</v>
      </c>
      <c r="H39">
        <v>16</v>
      </c>
      <c r="J39">
        <f>SUM(F39:F48)/10</f>
        <v>25.8</v>
      </c>
      <c r="K39">
        <f>SUM(G39:G48)/10</f>
        <v>19.3</v>
      </c>
      <c r="L39">
        <f>SUM(H39:H48)/10</f>
        <v>12</v>
      </c>
      <c r="N39" t="s">
        <v>31</v>
      </c>
    </row>
    <row r="40" spans="3:14" x14ac:dyDescent="0.25">
      <c r="D40">
        <v>1981</v>
      </c>
      <c r="F40">
        <v>26</v>
      </c>
      <c r="G40">
        <v>20</v>
      </c>
      <c r="H40">
        <v>14</v>
      </c>
      <c r="N40" t="s">
        <v>32</v>
      </c>
    </row>
    <row r="41" spans="3:14" x14ac:dyDescent="0.25">
      <c r="D41">
        <v>1982</v>
      </c>
      <c r="F41">
        <v>24</v>
      </c>
      <c r="G41">
        <v>20</v>
      </c>
      <c r="H41">
        <v>13</v>
      </c>
      <c r="N41" t="s">
        <v>41</v>
      </c>
    </row>
    <row r="42" spans="3:14" x14ac:dyDescent="0.25">
      <c r="D42">
        <v>1983</v>
      </c>
      <c r="F42">
        <v>28</v>
      </c>
      <c r="G42">
        <v>21</v>
      </c>
      <c r="H42">
        <v>15</v>
      </c>
      <c r="N42" t="s">
        <v>33</v>
      </c>
    </row>
    <row r="43" spans="3:14" x14ac:dyDescent="0.25">
      <c r="D43">
        <v>1984</v>
      </c>
      <c r="F43">
        <v>25</v>
      </c>
      <c r="G43">
        <v>18</v>
      </c>
      <c r="H43">
        <v>9</v>
      </c>
      <c r="N43">
        <v>1984</v>
      </c>
    </row>
    <row r="44" spans="3:14" x14ac:dyDescent="0.25">
      <c r="D44">
        <v>1985</v>
      </c>
      <c r="F44">
        <v>23</v>
      </c>
      <c r="G44">
        <v>18</v>
      </c>
      <c r="H44">
        <v>9</v>
      </c>
      <c r="N44" t="s">
        <v>43</v>
      </c>
    </row>
    <row r="45" spans="3:14" x14ac:dyDescent="0.25">
      <c r="D45">
        <v>1986</v>
      </c>
      <c r="F45">
        <v>25</v>
      </c>
      <c r="G45">
        <v>18</v>
      </c>
      <c r="H45">
        <v>9</v>
      </c>
      <c r="N45" t="s">
        <v>34</v>
      </c>
    </row>
    <row r="46" spans="3:14" x14ac:dyDescent="0.25">
      <c r="D46">
        <v>1987</v>
      </c>
      <c r="F46">
        <v>26</v>
      </c>
      <c r="G46">
        <v>20</v>
      </c>
      <c r="H46">
        <v>13</v>
      </c>
      <c r="N46">
        <v>1987</v>
      </c>
    </row>
    <row r="47" spans="3:14" x14ac:dyDescent="0.25">
      <c r="D47">
        <v>1988</v>
      </c>
      <c r="F47">
        <v>29</v>
      </c>
      <c r="G47">
        <v>20</v>
      </c>
      <c r="H47">
        <v>9</v>
      </c>
      <c r="N47">
        <v>1988</v>
      </c>
    </row>
    <row r="48" spans="3:14" x14ac:dyDescent="0.25">
      <c r="D48">
        <v>1989</v>
      </c>
      <c r="F48">
        <v>25</v>
      </c>
      <c r="G48">
        <v>18</v>
      </c>
      <c r="H48">
        <v>13</v>
      </c>
      <c r="N48" t="s">
        <v>52</v>
      </c>
    </row>
    <row r="49" spans="3:14" x14ac:dyDescent="0.25">
      <c r="C49">
        <v>1990</v>
      </c>
      <c r="D49">
        <v>1990</v>
      </c>
      <c r="F49">
        <v>25</v>
      </c>
      <c r="G49">
        <v>18</v>
      </c>
      <c r="H49">
        <v>10</v>
      </c>
      <c r="J49">
        <f>SUM(F49:F58)/10</f>
        <v>25</v>
      </c>
      <c r="K49">
        <f>SUM(G49:G58)/10</f>
        <v>19.100000000000001</v>
      </c>
      <c r="L49">
        <f>SUM(H49:H58)/10</f>
        <v>13.1</v>
      </c>
      <c r="N49">
        <v>1990</v>
      </c>
    </row>
    <row r="50" spans="3:14" x14ac:dyDescent="0.25">
      <c r="D50">
        <v>1991</v>
      </c>
      <c r="F50">
        <v>27</v>
      </c>
      <c r="G50">
        <v>20</v>
      </c>
      <c r="H50">
        <v>13</v>
      </c>
      <c r="N50">
        <v>1991</v>
      </c>
    </row>
    <row r="51" spans="3:14" x14ac:dyDescent="0.25">
      <c r="D51">
        <v>1992</v>
      </c>
      <c r="F51">
        <v>20</v>
      </c>
      <c r="G51">
        <v>16</v>
      </c>
      <c r="H51">
        <v>11</v>
      </c>
      <c r="N51">
        <v>1992</v>
      </c>
    </row>
    <row r="52" spans="3:14" x14ac:dyDescent="0.25">
      <c r="D52">
        <v>1993</v>
      </c>
      <c r="F52">
        <v>25</v>
      </c>
      <c r="G52">
        <v>19</v>
      </c>
      <c r="H52">
        <v>13</v>
      </c>
      <c r="N52" t="s">
        <v>47</v>
      </c>
    </row>
    <row r="53" spans="3:14" x14ac:dyDescent="0.25">
      <c r="D53">
        <v>1994</v>
      </c>
      <c r="F53">
        <v>25</v>
      </c>
      <c r="G53">
        <v>18</v>
      </c>
      <c r="H53">
        <v>12</v>
      </c>
      <c r="N53">
        <v>1994</v>
      </c>
    </row>
    <row r="54" spans="3:14" x14ac:dyDescent="0.25">
      <c r="D54">
        <v>1995</v>
      </c>
      <c r="F54">
        <v>28</v>
      </c>
      <c r="G54">
        <v>19</v>
      </c>
      <c r="H54">
        <v>12</v>
      </c>
      <c r="N54">
        <v>1995</v>
      </c>
    </row>
    <row r="55" spans="3:14" x14ac:dyDescent="0.25">
      <c r="D55">
        <v>1996</v>
      </c>
      <c r="F55">
        <v>22</v>
      </c>
      <c r="G55">
        <v>19</v>
      </c>
      <c r="H55">
        <v>14</v>
      </c>
      <c r="N55">
        <v>1996</v>
      </c>
    </row>
    <row r="56" spans="3:14" x14ac:dyDescent="0.25">
      <c r="D56">
        <v>1997</v>
      </c>
      <c r="F56">
        <v>26</v>
      </c>
      <c r="G56">
        <v>20</v>
      </c>
      <c r="H56">
        <v>15</v>
      </c>
      <c r="N56">
        <v>1997</v>
      </c>
    </row>
    <row r="57" spans="3:14" x14ac:dyDescent="0.25">
      <c r="D57">
        <v>1998</v>
      </c>
      <c r="F57">
        <v>24</v>
      </c>
      <c r="G57">
        <v>20</v>
      </c>
      <c r="H57">
        <v>15</v>
      </c>
      <c r="N57">
        <v>1998</v>
      </c>
    </row>
    <row r="58" spans="3:14" x14ac:dyDescent="0.25">
      <c r="D58">
        <v>1999</v>
      </c>
      <c r="F58">
        <v>28</v>
      </c>
      <c r="G58">
        <v>22</v>
      </c>
      <c r="H58">
        <v>16</v>
      </c>
      <c r="N58">
        <v>1999</v>
      </c>
    </row>
    <row r="59" spans="3:14" x14ac:dyDescent="0.25">
      <c r="C59">
        <v>2000</v>
      </c>
      <c r="D59">
        <v>2000</v>
      </c>
      <c r="F59">
        <v>22</v>
      </c>
      <c r="G59">
        <v>18</v>
      </c>
      <c r="H59">
        <v>15</v>
      </c>
      <c r="J59">
        <f>SUM(F59:F68)/10</f>
        <v>24.2</v>
      </c>
      <c r="K59">
        <f>SUM(G59:G68)/10</f>
        <v>19.600000000000001</v>
      </c>
      <c r="L59">
        <f>SUM(H59:H68)/10</f>
        <v>14</v>
      </c>
      <c r="N59">
        <v>2000</v>
      </c>
    </row>
    <row r="60" spans="3:14" x14ac:dyDescent="0.25">
      <c r="D60">
        <v>2001</v>
      </c>
      <c r="F60">
        <v>24</v>
      </c>
      <c r="G60">
        <v>18</v>
      </c>
      <c r="H60">
        <v>12</v>
      </c>
      <c r="N60">
        <v>2001</v>
      </c>
    </row>
    <row r="61" spans="3:14" x14ac:dyDescent="0.25">
      <c r="D61">
        <v>2002</v>
      </c>
      <c r="F61">
        <v>26</v>
      </c>
      <c r="G61">
        <v>21</v>
      </c>
      <c r="H61">
        <v>15</v>
      </c>
      <c r="N61">
        <v>2002</v>
      </c>
    </row>
    <row r="62" spans="3:14" x14ac:dyDescent="0.25">
      <c r="D62">
        <v>2003</v>
      </c>
      <c r="F62">
        <v>24</v>
      </c>
      <c r="G62">
        <v>20</v>
      </c>
      <c r="H62">
        <v>15</v>
      </c>
      <c r="N62">
        <v>2003</v>
      </c>
    </row>
    <row r="63" spans="3:14" x14ac:dyDescent="0.25">
      <c r="D63">
        <v>2004</v>
      </c>
      <c r="F63">
        <v>22</v>
      </c>
      <c r="G63">
        <v>19</v>
      </c>
      <c r="H63">
        <v>15</v>
      </c>
      <c r="N63">
        <v>2004</v>
      </c>
    </row>
    <row r="64" spans="3:14" x14ac:dyDescent="0.25">
      <c r="D64">
        <v>2005</v>
      </c>
      <c r="F64">
        <v>26</v>
      </c>
      <c r="G64">
        <v>22</v>
      </c>
      <c r="H64">
        <v>17</v>
      </c>
      <c r="N64">
        <v>2005</v>
      </c>
    </row>
    <row r="65" spans="3:14" x14ac:dyDescent="0.25">
      <c r="D65">
        <v>2006</v>
      </c>
      <c r="F65">
        <v>26</v>
      </c>
      <c r="G65">
        <v>21</v>
      </c>
      <c r="H65">
        <v>7</v>
      </c>
      <c r="N65">
        <v>2006</v>
      </c>
    </row>
    <row r="66" spans="3:14" x14ac:dyDescent="0.25">
      <c r="D66">
        <v>2007</v>
      </c>
      <c r="F66">
        <v>26</v>
      </c>
      <c r="G66">
        <v>19</v>
      </c>
      <c r="H66">
        <v>13</v>
      </c>
      <c r="N66">
        <v>2007</v>
      </c>
    </row>
    <row r="67" spans="3:14" x14ac:dyDescent="0.25">
      <c r="D67">
        <v>2008</v>
      </c>
      <c r="F67">
        <v>24</v>
      </c>
      <c r="G67">
        <v>20</v>
      </c>
      <c r="H67">
        <v>16</v>
      </c>
      <c r="N67">
        <v>2008</v>
      </c>
    </row>
    <row r="68" spans="3:14" x14ac:dyDescent="0.25">
      <c r="D68">
        <v>2009</v>
      </c>
      <c r="F68">
        <v>22</v>
      </c>
      <c r="G68">
        <v>18</v>
      </c>
      <c r="H68">
        <v>15</v>
      </c>
      <c r="N68">
        <v>2009</v>
      </c>
    </row>
    <row r="69" spans="3:14" x14ac:dyDescent="0.25">
      <c r="C69">
        <v>2010</v>
      </c>
      <c r="D69">
        <v>2010</v>
      </c>
      <c r="F69">
        <v>28</v>
      </c>
      <c r="G69">
        <v>22</v>
      </c>
      <c r="H69">
        <v>15</v>
      </c>
      <c r="J69">
        <f>SUM(F69:F78)/10</f>
        <v>23.421841192641104</v>
      </c>
      <c r="K69">
        <f>SUM(G69:G78)/10</f>
        <v>19.118652745890778</v>
      </c>
      <c r="L69">
        <f>SUM(H69:H78)/10</f>
        <v>14.529486296215438</v>
      </c>
      <c r="N69">
        <v>2010</v>
      </c>
    </row>
    <row r="70" spans="3:14" x14ac:dyDescent="0.25">
      <c r="D70">
        <v>2011</v>
      </c>
      <c r="F70">
        <v>27</v>
      </c>
      <c r="G70">
        <v>23</v>
      </c>
      <c r="H70">
        <v>19</v>
      </c>
      <c r="N70">
        <v>2011</v>
      </c>
    </row>
    <row r="71" spans="3:14" x14ac:dyDescent="0.25">
      <c r="D71">
        <v>2012</v>
      </c>
      <c r="F71">
        <v>26</v>
      </c>
      <c r="G71">
        <v>22</v>
      </c>
      <c r="H71">
        <v>16</v>
      </c>
      <c r="N71">
        <v>2012</v>
      </c>
    </row>
    <row r="72" spans="3:14" x14ac:dyDescent="0.25">
      <c r="D72">
        <v>2013</v>
      </c>
      <c r="F72">
        <v>27</v>
      </c>
      <c r="G72">
        <v>21</v>
      </c>
      <c r="H72">
        <v>16</v>
      </c>
      <c r="N72">
        <v>2013</v>
      </c>
    </row>
    <row r="73" spans="3:14" x14ac:dyDescent="0.25">
      <c r="D73">
        <v>2014</v>
      </c>
      <c r="F73">
        <v>25</v>
      </c>
      <c r="G73">
        <v>20</v>
      </c>
      <c r="H73">
        <v>14</v>
      </c>
      <c r="N73">
        <v>2014</v>
      </c>
    </row>
    <row r="74" spans="3:14" x14ac:dyDescent="0.25">
      <c r="D74">
        <v>2015</v>
      </c>
      <c r="F74">
        <v>24</v>
      </c>
      <c r="G74">
        <v>20</v>
      </c>
      <c r="H74">
        <v>16</v>
      </c>
      <c r="N74">
        <v>2015</v>
      </c>
    </row>
    <row r="75" spans="3:14" x14ac:dyDescent="0.25">
      <c r="D75">
        <v>2016</v>
      </c>
      <c r="F75">
        <v>27</v>
      </c>
      <c r="G75">
        <v>22</v>
      </c>
      <c r="H75">
        <v>16</v>
      </c>
      <c r="N75">
        <v>2016</v>
      </c>
    </row>
    <row r="76" spans="3:14" x14ac:dyDescent="0.25">
      <c r="D76">
        <v>2017</v>
      </c>
      <c r="F76">
        <v>23</v>
      </c>
      <c r="G76">
        <v>20</v>
      </c>
      <c r="H76">
        <v>16</v>
      </c>
      <c r="N76">
        <v>2017</v>
      </c>
    </row>
    <row r="77" spans="3:14" x14ac:dyDescent="0.25">
      <c r="D77">
        <v>2018</v>
      </c>
      <c r="F77">
        <v>27</v>
      </c>
      <c r="G77">
        <v>21</v>
      </c>
      <c r="H77">
        <v>17</v>
      </c>
      <c r="N77">
        <v>2018</v>
      </c>
    </row>
    <row r="78" spans="3:14" x14ac:dyDescent="0.25">
      <c r="F78">
        <f>STDEV(F9:F77)/SQRT(69)</f>
        <v>0.2184119264110288</v>
      </c>
      <c r="G78">
        <f>STDEV(G9:G77)/SQRT(69)</f>
        <v>0.18652745890778985</v>
      </c>
      <c r="H78">
        <f>STDEV(H9:H77)/SQRT(69)</f>
        <v>0.29486296215436969</v>
      </c>
    </row>
    <row r="81" spans="4:18" x14ac:dyDescent="0.25">
      <c r="D81" s="4" t="s">
        <v>24</v>
      </c>
      <c r="N81" s="4" t="s">
        <v>24</v>
      </c>
    </row>
    <row r="83" spans="4:18" x14ac:dyDescent="0.25">
      <c r="D83" s="3" t="s">
        <v>25</v>
      </c>
      <c r="F83">
        <f>COUNT(F9:F77)</f>
        <v>69</v>
      </c>
      <c r="G83">
        <f t="shared" ref="G83:H83" si="0">COUNT(G9:G77)</f>
        <v>69</v>
      </c>
      <c r="H83">
        <f t="shared" si="0"/>
        <v>69</v>
      </c>
      <c r="N83" s="3" t="s">
        <v>25</v>
      </c>
      <c r="P83">
        <f t="shared" ref="P83:R83" si="1">COUNT(P9:P77)</f>
        <v>0</v>
      </c>
      <c r="Q83">
        <f t="shared" si="1"/>
        <v>0</v>
      </c>
      <c r="R83">
        <f t="shared" si="1"/>
        <v>0</v>
      </c>
    </row>
    <row r="84" spans="4:18" x14ac:dyDescent="0.25">
      <c r="D84" s="3" t="s">
        <v>5</v>
      </c>
      <c r="F84" s="6">
        <f>AVERAGE(F9:F77)</f>
        <v>25.130434782608695</v>
      </c>
      <c r="G84" s="6">
        <f t="shared" ref="G84:H84" si="2">AVERAGE(G9:G77)</f>
        <v>19.840579710144926</v>
      </c>
      <c r="H84" s="6">
        <f t="shared" si="2"/>
        <v>13.971014492753623</v>
      </c>
      <c r="N84" s="3" t="s">
        <v>5</v>
      </c>
      <c r="P84" s="6" t="e">
        <f>AVERAGE(P9:P77)</f>
        <v>#DIV/0!</v>
      </c>
      <c r="Q84" s="6" t="e">
        <f t="shared" ref="Q84:R84" si="3">AVERAGE(Q9:Q77)</f>
        <v>#DIV/0!</v>
      </c>
      <c r="R84" s="6" t="e">
        <f t="shared" si="3"/>
        <v>#DIV/0!</v>
      </c>
    </row>
    <row r="85" spans="4:18" x14ac:dyDescent="0.25">
      <c r="D85" s="3" t="s">
        <v>26</v>
      </c>
      <c r="F85" s="6">
        <f>STDEV(F9:F77)</f>
        <v>1.8142657198717584</v>
      </c>
      <c r="G85" s="6">
        <f t="shared" ref="G85:H85" si="4">STDEV(G9:G77)</f>
        <v>1.5494134412529179</v>
      </c>
      <c r="H85" s="6">
        <f t="shared" si="4"/>
        <v>2.4493157177221967</v>
      </c>
      <c r="N85" s="3" t="s">
        <v>26</v>
      </c>
      <c r="P85" s="6" t="e">
        <f>STDEV(P9:P77)</f>
        <v>#DIV/0!</v>
      </c>
      <c r="Q85" s="6" t="e">
        <f t="shared" ref="Q85:R85" si="5">STDEV(Q9:Q77)</f>
        <v>#DIV/0!</v>
      </c>
      <c r="R85" s="6" t="e">
        <f t="shared" si="5"/>
        <v>#DIV/0!</v>
      </c>
    </row>
  </sheetData>
  <hyperlinks>
    <hyperlink ref="B2" r:id="rId1" xr:uid="{732FC165-F17E-DB49-B836-3B89740E2E48}"/>
  </hyperlinks>
  <pageMargins left="0.7" right="0.7" top="0.75" bottom="0.75" header="0.3" footer="0.3"/>
  <pageSetup orientation="portrait" horizontalDpi="4294967293" verticalDpi="4294967293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5"/>
  <sheetViews>
    <sheetView topLeftCell="A31" workbookViewId="0">
      <selection activeCell="H9" sqref="H9"/>
    </sheetView>
  </sheetViews>
  <sheetFormatPr defaultColWidth="8.85546875" defaultRowHeight="15" x14ac:dyDescent="0.25"/>
  <cols>
    <col min="1" max="1" width="14.140625" customWidth="1"/>
    <col min="9" max="9" width="27" customWidth="1"/>
    <col min="15" max="15" width="6.42578125" customWidth="1"/>
    <col min="16" max="16" width="13.42578125" customWidth="1"/>
    <col min="17" max="17" width="15.42578125" customWidth="1"/>
    <col min="18" max="18" width="14.28515625" customWidth="1"/>
  </cols>
  <sheetData>
    <row r="1" spans="1:19" x14ac:dyDescent="0.25">
      <c r="A1" t="s">
        <v>0</v>
      </c>
      <c r="B1" t="s">
        <v>29</v>
      </c>
      <c r="E1" t="s">
        <v>14</v>
      </c>
      <c r="F1" t="s">
        <v>22</v>
      </c>
      <c r="J1" t="s">
        <v>10</v>
      </c>
    </row>
    <row r="2" spans="1:19" x14ac:dyDescent="0.25">
      <c r="A2" t="s">
        <v>11</v>
      </c>
      <c r="B2" s="7" t="s">
        <v>54</v>
      </c>
    </row>
    <row r="4" spans="1:19" x14ac:dyDescent="0.25">
      <c r="C4" s="4" t="s">
        <v>2</v>
      </c>
      <c r="G4" s="4" t="s">
        <v>8</v>
      </c>
      <c r="Q4" s="4" t="s">
        <v>16</v>
      </c>
    </row>
    <row r="5" spans="1:19" x14ac:dyDescent="0.25">
      <c r="J5" t="s">
        <v>9</v>
      </c>
      <c r="K5" t="s">
        <v>9</v>
      </c>
      <c r="L5" t="s">
        <v>9</v>
      </c>
    </row>
    <row r="6" spans="1:19" x14ac:dyDescent="0.25">
      <c r="F6" s="2" t="s">
        <v>5</v>
      </c>
      <c r="G6" s="2" t="s">
        <v>5</v>
      </c>
      <c r="H6" s="2" t="s">
        <v>5</v>
      </c>
      <c r="I6" t="s">
        <v>23</v>
      </c>
      <c r="J6" s="2" t="s">
        <v>5</v>
      </c>
      <c r="K6" s="2" t="s">
        <v>5</v>
      </c>
      <c r="L6" s="2" t="s">
        <v>5</v>
      </c>
      <c r="M6" s="2"/>
      <c r="P6" s="2" t="s">
        <v>17</v>
      </c>
      <c r="Q6" s="2" t="s">
        <v>12</v>
      </c>
      <c r="R6" s="2" t="s">
        <v>19</v>
      </c>
    </row>
    <row r="7" spans="1:19" x14ac:dyDescent="0.25">
      <c r="C7" t="s">
        <v>1</v>
      </c>
      <c r="D7" t="s">
        <v>3</v>
      </c>
      <c r="F7" s="2" t="s">
        <v>4</v>
      </c>
      <c r="G7" s="2" t="s">
        <v>6</v>
      </c>
      <c r="H7" s="2" t="s">
        <v>7</v>
      </c>
      <c r="I7" s="2" t="s">
        <v>53</v>
      </c>
      <c r="J7" s="2" t="s">
        <v>4</v>
      </c>
      <c r="K7" s="2" t="s">
        <v>6</v>
      </c>
      <c r="L7" s="2" t="s">
        <v>7</v>
      </c>
      <c r="M7" s="2"/>
      <c r="N7" t="s">
        <v>3</v>
      </c>
      <c r="P7" s="2" t="s">
        <v>27</v>
      </c>
      <c r="Q7" s="2" t="s">
        <v>18</v>
      </c>
      <c r="R7" s="2" t="s">
        <v>28</v>
      </c>
    </row>
    <row r="8" spans="1:19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5">
      <c r="C9">
        <v>1950</v>
      </c>
      <c r="D9">
        <v>1950</v>
      </c>
      <c r="F9">
        <v>17</v>
      </c>
      <c r="G9">
        <v>18</v>
      </c>
      <c r="H9">
        <v>7</v>
      </c>
      <c r="J9">
        <f>SUM(F9:F18)/10</f>
        <v>18.5</v>
      </c>
      <c r="K9">
        <f>SUM(G9:G18)/10</f>
        <v>10.5</v>
      </c>
      <c r="L9">
        <f>SUM(H9:H18)/10</f>
        <v>1.6</v>
      </c>
      <c r="N9">
        <v>1950</v>
      </c>
    </row>
    <row r="10" spans="1:19" x14ac:dyDescent="0.25">
      <c r="D10">
        <v>1951</v>
      </c>
      <c r="F10">
        <v>21</v>
      </c>
      <c r="G10">
        <v>10</v>
      </c>
      <c r="H10">
        <v>2</v>
      </c>
      <c r="N10">
        <v>1951</v>
      </c>
    </row>
    <row r="11" spans="1:19" x14ac:dyDescent="0.25">
      <c r="D11">
        <v>1952</v>
      </c>
      <c r="F11">
        <v>14</v>
      </c>
      <c r="G11">
        <v>7</v>
      </c>
      <c r="H11">
        <v>-2</v>
      </c>
      <c r="N11">
        <v>1952</v>
      </c>
    </row>
    <row r="12" spans="1:19" x14ac:dyDescent="0.25">
      <c r="D12">
        <v>1953</v>
      </c>
      <c r="F12">
        <v>18</v>
      </c>
      <c r="G12">
        <v>11</v>
      </c>
      <c r="H12">
        <v>3</v>
      </c>
      <c r="N12">
        <v>1953</v>
      </c>
    </row>
    <row r="13" spans="1:19" x14ac:dyDescent="0.25">
      <c r="D13">
        <v>1954</v>
      </c>
      <c r="F13">
        <v>23</v>
      </c>
      <c r="G13">
        <v>11</v>
      </c>
      <c r="H13">
        <v>1</v>
      </c>
      <c r="N13">
        <v>1954</v>
      </c>
    </row>
    <row r="14" spans="1:19" x14ac:dyDescent="0.25">
      <c r="D14">
        <v>1955</v>
      </c>
      <c r="F14">
        <v>20</v>
      </c>
      <c r="G14">
        <v>11</v>
      </c>
      <c r="H14">
        <v>1</v>
      </c>
      <c r="N14">
        <v>1955</v>
      </c>
    </row>
    <row r="15" spans="1:19" x14ac:dyDescent="0.25">
      <c r="D15">
        <v>1956</v>
      </c>
      <c r="F15">
        <v>18</v>
      </c>
      <c r="G15">
        <v>10</v>
      </c>
      <c r="H15">
        <v>3</v>
      </c>
      <c r="N15">
        <v>1956</v>
      </c>
    </row>
    <row r="16" spans="1:19" x14ac:dyDescent="0.25">
      <c r="D16">
        <v>1957</v>
      </c>
      <c r="F16">
        <v>14</v>
      </c>
      <c r="G16">
        <v>8</v>
      </c>
      <c r="H16">
        <v>-2</v>
      </c>
      <c r="N16">
        <v>1957</v>
      </c>
    </row>
    <row r="17" spans="3:14" x14ac:dyDescent="0.25">
      <c r="D17">
        <v>1958</v>
      </c>
      <c r="F17">
        <v>19</v>
      </c>
      <c r="G17">
        <v>9</v>
      </c>
      <c r="H17">
        <v>2</v>
      </c>
      <c r="N17">
        <v>1958</v>
      </c>
    </row>
    <row r="18" spans="3:14" x14ac:dyDescent="0.25">
      <c r="D18">
        <v>1959</v>
      </c>
      <c r="F18">
        <v>21</v>
      </c>
      <c r="G18">
        <v>10</v>
      </c>
      <c r="H18">
        <v>1</v>
      </c>
      <c r="N18">
        <v>1959</v>
      </c>
    </row>
    <row r="19" spans="3:14" x14ac:dyDescent="0.25">
      <c r="C19">
        <v>1960</v>
      </c>
      <c r="D19">
        <v>1960</v>
      </c>
      <c r="F19">
        <v>18</v>
      </c>
      <c r="G19">
        <v>9</v>
      </c>
      <c r="H19">
        <v>1</v>
      </c>
      <c r="J19">
        <f>SUM(F19:F28)/10</f>
        <v>18</v>
      </c>
      <c r="K19">
        <f>SUM(G19:G28)/10</f>
        <v>9.6999999999999993</v>
      </c>
      <c r="L19">
        <f>SUM(H19:H28)/10</f>
        <v>0.4</v>
      </c>
      <c r="N19">
        <v>1960</v>
      </c>
    </row>
    <row r="20" spans="3:14" x14ac:dyDescent="0.25">
      <c r="D20">
        <v>1961</v>
      </c>
      <c r="F20">
        <v>19</v>
      </c>
      <c r="G20">
        <v>12</v>
      </c>
      <c r="H20">
        <v>3</v>
      </c>
      <c r="N20">
        <v>1961</v>
      </c>
    </row>
    <row r="21" spans="3:14" x14ac:dyDescent="0.25">
      <c r="D21">
        <v>1962</v>
      </c>
      <c r="F21">
        <v>18</v>
      </c>
      <c r="G21">
        <v>10</v>
      </c>
      <c r="H21">
        <v>-1</v>
      </c>
      <c r="N21">
        <v>1962</v>
      </c>
    </row>
    <row r="22" spans="3:14" x14ac:dyDescent="0.25">
      <c r="D22">
        <v>1963</v>
      </c>
      <c r="F22">
        <v>21</v>
      </c>
      <c r="G22">
        <v>13</v>
      </c>
      <c r="H22">
        <v>2</v>
      </c>
      <c r="N22">
        <v>1963</v>
      </c>
    </row>
    <row r="23" spans="3:14" x14ac:dyDescent="0.25">
      <c r="D23">
        <v>1964</v>
      </c>
      <c r="F23">
        <v>17</v>
      </c>
      <c r="G23">
        <v>9</v>
      </c>
      <c r="H23">
        <v>2</v>
      </c>
      <c r="N23">
        <v>1964</v>
      </c>
    </row>
    <row r="24" spans="3:14" x14ac:dyDescent="0.25">
      <c r="D24">
        <v>1965</v>
      </c>
      <c r="F24">
        <v>15</v>
      </c>
      <c r="G24">
        <v>8</v>
      </c>
      <c r="H24">
        <v>-2</v>
      </c>
      <c r="N24">
        <v>1965</v>
      </c>
    </row>
    <row r="25" spans="3:14" x14ac:dyDescent="0.25">
      <c r="D25">
        <v>1966</v>
      </c>
      <c r="F25">
        <v>16</v>
      </c>
      <c r="G25">
        <v>8</v>
      </c>
      <c r="H25">
        <v>-1</v>
      </c>
      <c r="N25">
        <v>1966</v>
      </c>
    </row>
    <row r="26" spans="3:14" x14ac:dyDescent="0.25">
      <c r="D26">
        <v>1967</v>
      </c>
      <c r="F26">
        <v>19</v>
      </c>
      <c r="G26">
        <v>9</v>
      </c>
      <c r="H26">
        <v>3</v>
      </c>
      <c r="N26">
        <v>1967</v>
      </c>
    </row>
    <row r="27" spans="3:14" x14ac:dyDescent="0.25">
      <c r="D27">
        <v>1968</v>
      </c>
      <c r="F27">
        <v>20</v>
      </c>
      <c r="G27">
        <v>10</v>
      </c>
      <c r="H27">
        <v>0</v>
      </c>
      <c r="N27">
        <v>1968</v>
      </c>
    </row>
    <row r="28" spans="3:14" x14ac:dyDescent="0.25">
      <c r="D28">
        <v>1969</v>
      </c>
      <c r="F28">
        <v>17</v>
      </c>
      <c r="G28">
        <v>9</v>
      </c>
      <c r="H28">
        <v>-3</v>
      </c>
      <c r="N28">
        <v>1969</v>
      </c>
    </row>
    <row r="29" spans="3:14" x14ac:dyDescent="0.25">
      <c r="C29">
        <v>1970</v>
      </c>
      <c r="D29">
        <v>1970</v>
      </c>
      <c r="F29">
        <v>18</v>
      </c>
      <c r="G29">
        <v>10</v>
      </c>
      <c r="H29">
        <v>0</v>
      </c>
      <c r="J29">
        <f>SUM(F29:F38)/10</f>
        <v>16.899999999999999</v>
      </c>
      <c r="K29">
        <f>SUM(G29:G38)/10</f>
        <v>8.4</v>
      </c>
      <c r="L29">
        <f>SUM(H29:H38)/10</f>
        <v>0.7</v>
      </c>
      <c r="N29">
        <v>1970</v>
      </c>
    </row>
    <row r="30" spans="3:14" x14ac:dyDescent="0.25">
      <c r="D30">
        <v>1971</v>
      </c>
      <c r="F30">
        <v>20</v>
      </c>
      <c r="G30">
        <v>13</v>
      </c>
      <c r="H30">
        <v>7</v>
      </c>
      <c r="N30">
        <v>1971</v>
      </c>
    </row>
    <row r="31" spans="3:14" x14ac:dyDescent="0.25">
      <c r="D31">
        <v>1972</v>
      </c>
      <c r="F31">
        <v>15</v>
      </c>
      <c r="G31">
        <v>6</v>
      </c>
      <c r="H31">
        <v>-2</v>
      </c>
      <c r="N31">
        <v>1972</v>
      </c>
    </row>
    <row r="32" spans="3:14" x14ac:dyDescent="0.25">
      <c r="D32">
        <v>1973</v>
      </c>
      <c r="F32">
        <v>17</v>
      </c>
      <c r="G32">
        <v>10</v>
      </c>
      <c r="H32">
        <v>4</v>
      </c>
      <c r="N32">
        <v>1973</v>
      </c>
    </row>
    <row r="33" spans="3:14" x14ac:dyDescent="0.25">
      <c r="D33">
        <v>1974</v>
      </c>
      <c r="F33">
        <v>17</v>
      </c>
      <c r="G33">
        <v>7</v>
      </c>
      <c r="H33">
        <v>-3</v>
      </c>
      <c r="N33" t="s">
        <v>50</v>
      </c>
    </row>
    <row r="34" spans="3:14" x14ac:dyDescent="0.25">
      <c r="D34">
        <v>1975</v>
      </c>
      <c r="F34">
        <v>19</v>
      </c>
      <c r="G34">
        <v>10</v>
      </c>
      <c r="H34">
        <v>0</v>
      </c>
      <c r="N34">
        <v>1975</v>
      </c>
    </row>
    <row r="35" spans="3:14" x14ac:dyDescent="0.25">
      <c r="D35">
        <v>1976</v>
      </c>
      <c r="F35">
        <v>13</v>
      </c>
      <c r="G35">
        <v>5</v>
      </c>
      <c r="H35">
        <v>-3</v>
      </c>
      <c r="N35" t="s">
        <v>37</v>
      </c>
    </row>
    <row r="36" spans="3:14" x14ac:dyDescent="0.25">
      <c r="D36">
        <v>1977</v>
      </c>
      <c r="F36">
        <v>12</v>
      </c>
      <c r="G36">
        <v>7</v>
      </c>
      <c r="H36">
        <v>2</v>
      </c>
      <c r="N36" t="s">
        <v>38</v>
      </c>
    </row>
    <row r="37" spans="3:14" x14ac:dyDescent="0.25">
      <c r="D37">
        <v>1978</v>
      </c>
      <c r="F37">
        <v>16</v>
      </c>
      <c r="G37">
        <v>8</v>
      </c>
      <c r="H37">
        <v>2</v>
      </c>
      <c r="N37" t="s">
        <v>39</v>
      </c>
    </row>
    <row r="38" spans="3:14" x14ac:dyDescent="0.25">
      <c r="D38">
        <v>1979</v>
      </c>
      <c r="F38">
        <v>22</v>
      </c>
      <c r="G38">
        <v>8</v>
      </c>
      <c r="H38">
        <v>0</v>
      </c>
      <c r="N38" t="s">
        <v>40</v>
      </c>
    </row>
    <row r="39" spans="3:14" x14ac:dyDescent="0.25">
      <c r="C39">
        <v>1980</v>
      </c>
      <c r="D39">
        <v>1980</v>
      </c>
      <c r="F39">
        <v>18</v>
      </c>
      <c r="G39">
        <v>7</v>
      </c>
      <c r="H39">
        <v>1</v>
      </c>
      <c r="J39">
        <f>SUM(F39:F48)/10</f>
        <v>16.399999999999999</v>
      </c>
      <c r="K39">
        <f>SUM(G39:G48)/10</f>
        <v>8</v>
      </c>
      <c r="L39">
        <f>SUM(H39:H48)/10</f>
        <v>1.7</v>
      </c>
      <c r="N39" t="s">
        <v>31</v>
      </c>
    </row>
    <row r="40" spans="3:14" x14ac:dyDescent="0.25">
      <c r="D40">
        <v>1981</v>
      </c>
      <c r="F40">
        <v>12</v>
      </c>
      <c r="G40">
        <v>7</v>
      </c>
      <c r="H40">
        <v>1</v>
      </c>
      <c r="N40" t="s">
        <v>32</v>
      </c>
    </row>
    <row r="41" spans="3:14" x14ac:dyDescent="0.25">
      <c r="D41">
        <v>1982</v>
      </c>
      <c r="F41">
        <v>16</v>
      </c>
      <c r="G41">
        <v>9</v>
      </c>
      <c r="H41">
        <v>2</v>
      </c>
      <c r="N41">
        <v>1982</v>
      </c>
    </row>
    <row r="42" spans="3:14" x14ac:dyDescent="0.25">
      <c r="D42">
        <v>1983</v>
      </c>
      <c r="F42">
        <v>18</v>
      </c>
      <c r="G42">
        <v>9</v>
      </c>
      <c r="H42">
        <v>2</v>
      </c>
      <c r="N42" t="s">
        <v>33</v>
      </c>
    </row>
    <row r="43" spans="3:14" x14ac:dyDescent="0.25">
      <c r="D43">
        <v>1984</v>
      </c>
      <c r="F43">
        <v>18</v>
      </c>
      <c r="G43">
        <v>10</v>
      </c>
      <c r="H43">
        <v>5</v>
      </c>
      <c r="N43" t="s">
        <v>42</v>
      </c>
    </row>
    <row r="44" spans="3:14" x14ac:dyDescent="0.25">
      <c r="D44">
        <v>1985</v>
      </c>
      <c r="F44">
        <v>15</v>
      </c>
      <c r="G44">
        <v>9</v>
      </c>
      <c r="H44">
        <v>2</v>
      </c>
      <c r="N44">
        <v>1985</v>
      </c>
    </row>
    <row r="45" spans="3:14" x14ac:dyDescent="0.25">
      <c r="D45">
        <v>1986</v>
      </c>
      <c r="F45">
        <v>16</v>
      </c>
      <c r="G45">
        <v>8</v>
      </c>
      <c r="H45">
        <v>3</v>
      </c>
      <c r="N45" t="s">
        <v>34</v>
      </c>
    </row>
    <row r="46" spans="3:14" x14ac:dyDescent="0.25">
      <c r="D46">
        <v>1987</v>
      </c>
      <c r="F46">
        <v>13</v>
      </c>
      <c r="G46">
        <v>7</v>
      </c>
      <c r="H46">
        <v>1</v>
      </c>
      <c r="N46" t="s">
        <v>45</v>
      </c>
    </row>
    <row r="47" spans="3:14" x14ac:dyDescent="0.25">
      <c r="D47">
        <v>1988</v>
      </c>
      <c r="F47">
        <v>18</v>
      </c>
      <c r="G47">
        <v>5</v>
      </c>
      <c r="H47">
        <v>-1</v>
      </c>
      <c r="N47" t="s">
        <v>48</v>
      </c>
    </row>
    <row r="48" spans="3:14" x14ac:dyDescent="0.25">
      <c r="D48">
        <v>1989</v>
      </c>
      <c r="F48">
        <v>20</v>
      </c>
      <c r="G48">
        <v>9</v>
      </c>
      <c r="H48">
        <v>1</v>
      </c>
      <c r="N48" t="s">
        <v>52</v>
      </c>
    </row>
    <row r="49" spans="3:14" x14ac:dyDescent="0.25">
      <c r="C49">
        <v>1990</v>
      </c>
      <c r="D49">
        <v>1990</v>
      </c>
      <c r="F49">
        <v>19</v>
      </c>
      <c r="G49">
        <v>10</v>
      </c>
      <c r="H49">
        <v>1</v>
      </c>
      <c r="J49">
        <f>SUM(F49:F58)/10</f>
        <v>17.2</v>
      </c>
      <c r="K49">
        <f>SUM(G49:G58)/10</f>
        <v>8.6999999999999993</v>
      </c>
      <c r="L49">
        <f>SUM(H49:H58)/10</f>
        <v>1.7</v>
      </c>
      <c r="N49" t="s">
        <v>46</v>
      </c>
    </row>
    <row r="50" spans="3:14" x14ac:dyDescent="0.25">
      <c r="D50">
        <v>1991</v>
      </c>
      <c r="F50">
        <v>20</v>
      </c>
      <c r="G50">
        <v>10</v>
      </c>
      <c r="H50">
        <v>3</v>
      </c>
      <c r="N50">
        <v>1991</v>
      </c>
    </row>
    <row r="51" spans="3:14" x14ac:dyDescent="0.25">
      <c r="D51">
        <v>1992</v>
      </c>
      <c r="F51">
        <v>16</v>
      </c>
      <c r="G51">
        <v>6</v>
      </c>
      <c r="H51">
        <v>0</v>
      </c>
      <c r="N51">
        <v>1992</v>
      </c>
    </row>
    <row r="52" spans="3:14" x14ac:dyDescent="0.25">
      <c r="D52">
        <v>1993</v>
      </c>
      <c r="F52">
        <v>18</v>
      </c>
      <c r="G52">
        <v>7</v>
      </c>
      <c r="H52">
        <v>0</v>
      </c>
      <c r="N52">
        <v>1993</v>
      </c>
    </row>
    <row r="53" spans="3:14" x14ac:dyDescent="0.25">
      <c r="D53">
        <v>1994</v>
      </c>
      <c r="F53">
        <v>14</v>
      </c>
      <c r="G53">
        <v>8</v>
      </c>
      <c r="H53">
        <v>3</v>
      </c>
      <c r="N53">
        <v>1994</v>
      </c>
    </row>
    <row r="54" spans="3:14" x14ac:dyDescent="0.25">
      <c r="D54">
        <v>1995</v>
      </c>
      <c r="F54">
        <v>18</v>
      </c>
      <c r="G54">
        <v>11</v>
      </c>
      <c r="H54">
        <v>2</v>
      </c>
      <c r="N54">
        <v>1995</v>
      </c>
    </row>
    <row r="55" spans="3:14" x14ac:dyDescent="0.25">
      <c r="D55">
        <v>1996</v>
      </c>
      <c r="F55">
        <v>16</v>
      </c>
      <c r="G55">
        <v>9</v>
      </c>
      <c r="H55">
        <v>2</v>
      </c>
      <c r="N55">
        <v>1996</v>
      </c>
    </row>
    <row r="56" spans="3:14" x14ac:dyDescent="0.25">
      <c r="D56">
        <v>1997</v>
      </c>
      <c r="F56">
        <v>19</v>
      </c>
      <c r="G56">
        <v>9</v>
      </c>
      <c r="H56">
        <v>1</v>
      </c>
      <c r="N56">
        <v>1997</v>
      </c>
    </row>
    <row r="57" spans="3:14" x14ac:dyDescent="0.25">
      <c r="D57">
        <v>1998</v>
      </c>
      <c r="F57">
        <v>17</v>
      </c>
      <c r="G57">
        <v>9</v>
      </c>
      <c r="H57">
        <v>3</v>
      </c>
      <c r="N57">
        <v>1998</v>
      </c>
    </row>
    <row r="58" spans="3:14" x14ac:dyDescent="0.25">
      <c r="D58">
        <v>1999</v>
      </c>
      <c r="F58">
        <v>15</v>
      </c>
      <c r="G58">
        <v>8</v>
      </c>
      <c r="H58">
        <v>2</v>
      </c>
      <c r="N58">
        <v>1999</v>
      </c>
    </row>
    <row r="59" spans="3:14" x14ac:dyDescent="0.25">
      <c r="C59">
        <v>2000</v>
      </c>
      <c r="D59">
        <v>2000</v>
      </c>
      <c r="F59">
        <v>17</v>
      </c>
      <c r="G59">
        <v>9</v>
      </c>
      <c r="H59">
        <v>0</v>
      </c>
      <c r="J59">
        <f>SUM(F59:F68)/10</f>
        <v>17.5</v>
      </c>
      <c r="K59">
        <f>SUM(G59:G68)/10</f>
        <v>9.3000000000000007</v>
      </c>
      <c r="L59">
        <f>SUM(H59:H68)/10</f>
        <v>1.1000000000000001</v>
      </c>
      <c r="N59">
        <v>2000</v>
      </c>
    </row>
    <row r="60" spans="3:14" x14ac:dyDescent="0.25">
      <c r="D60">
        <v>2001</v>
      </c>
      <c r="F60">
        <v>18</v>
      </c>
      <c r="G60">
        <v>10</v>
      </c>
      <c r="H60">
        <v>1</v>
      </c>
      <c r="N60">
        <v>2001</v>
      </c>
    </row>
    <row r="61" spans="3:14" x14ac:dyDescent="0.25">
      <c r="D61">
        <v>2002</v>
      </c>
      <c r="F61">
        <v>20</v>
      </c>
      <c r="G61">
        <v>8</v>
      </c>
      <c r="H61">
        <v>0</v>
      </c>
      <c r="N61">
        <v>2002</v>
      </c>
    </row>
    <row r="62" spans="3:14" x14ac:dyDescent="0.25">
      <c r="D62">
        <v>2003</v>
      </c>
      <c r="F62">
        <v>17</v>
      </c>
      <c r="G62">
        <v>8</v>
      </c>
      <c r="H62">
        <v>-1</v>
      </c>
      <c r="N62">
        <v>2003</v>
      </c>
    </row>
    <row r="63" spans="3:14" x14ac:dyDescent="0.25">
      <c r="D63">
        <v>2004</v>
      </c>
      <c r="F63">
        <v>16</v>
      </c>
      <c r="G63">
        <v>9</v>
      </c>
      <c r="H63">
        <v>4</v>
      </c>
      <c r="N63">
        <v>2004</v>
      </c>
    </row>
    <row r="64" spans="3:14" x14ac:dyDescent="0.25">
      <c r="D64">
        <v>2005</v>
      </c>
      <c r="F64">
        <v>19</v>
      </c>
      <c r="G64">
        <v>10</v>
      </c>
      <c r="H64">
        <v>2</v>
      </c>
      <c r="N64">
        <v>2005</v>
      </c>
    </row>
    <row r="65" spans="3:14" x14ac:dyDescent="0.25">
      <c r="D65">
        <v>2006</v>
      </c>
      <c r="F65">
        <v>16</v>
      </c>
      <c r="G65">
        <v>9</v>
      </c>
      <c r="H65">
        <v>2</v>
      </c>
      <c r="N65">
        <v>2006</v>
      </c>
    </row>
    <row r="66" spans="3:14" x14ac:dyDescent="0.25">
      <c r="D66">
        <v>2007</v>
      </c>
      <c r="F66">
        <v>21</v>
      </c>
      <c r="G66">
        <v>14</v>
      </c>
      <c r="H66">
        <v>4</v>
      </c>
      <c r="N66">
        <v>2007</v>
      </c>
    </row>
    <row r="67" spans="3:14" x14ac:dyDescent="0.25">
      <c r="D67">
        <v>2008</v>
      </c>
      <c r="F67">
        <v>17</v>
      </c>
      <c r="G67">
        <v>8</v>
      </c>
      <c r="H67">
        <v>-1</v>
      </c>
      <c r="N67">
        <v>2008</v>
      </c>
    </row>
    <row r="68" spans="3:14" x14ac:dyDescent="0.25">
      <c r="D68">
        <v>2009</v>
      </c>
      <c r="F68">
        <v>14</v>
      </c>
      <c r="G68">
        <v>8</v>
      </c>
      <c r="H68">
        <v>0</v>
      </c>
      <c r="N68">
        <v>2009</v>
      </c>
    </row>
    <row r="69" spans="3:14" x14ac:dyDescent="0.25">
      <c r="C69">
        <v>2010</v>
      </c>
      <c r="D69">
        <v>2010</v>
      </c>
      <c r="F69">
        <v>16</v>
      </c>
      <c r="G69">
        <v>9</v>
      </c>
      <c r="H69">
        <v>3</v>
      </c>
      <c r="J69">
        <f>SUM(F69:F78)/10</f>
        <v>16.72849434673217</v>
      </c>
      <c r="K69">
        <f>SUM(G69:G78)/10</f>
        <v>9.0247639809743383</v>
      </c>
      <c r="L69">
        <f>SUM(H69:H78)/10</f>
        <v>1.7251255542261668</v>
      </c>
      <c r="N69">
        <v>2010</v>
      </c>
    </row>
    <row r="70" spans="3:14" x14ac:dyDescent="0.25">
      <c r="D70">
        <v>2011</v>
      </c>
      <c r="F70">
        <v>18</v>
      </c>
      <c r="G70">
        <v>9</v>
      </c>
      <c r="H70">
        <v>0</v>
      </c>
      <c r="N70">
        <v>2011</v>
      </c>
    </row>
    <row r="71" spans="3:14" x14ac:dyDescent="0.25">
      <c r="D71">
        <v>2012</v>
      </c>
      <c r="F71">
        <v>19</v>
      </c>
      <c r="G71">
        <v>10</v>
      </c>
      <c r="H71">
        <v>3</v>
      </c>
      <c r="N71">
        <v>2012</v>
      </c>
    </row>
    <row r="72" spans="3:14" x14ac:dyDescent="0.25">
      <c r="D72">
        <v>2013</v>
      </c>
      <c r="F72">
        <v>19</v>
      </c>
      <c r="G72">
        <v>11</v>
      </c>
      <c r="H72">
        <v>3</v>
      </c>
      <c r="N72">
        <v>2013</v>
      </c>
    </row>
    <row r="73" spans="3:14" x14ac:dyDescent="0.25">
      <c r="D73">
        <v>2014</v>
      </c>
      <c r="F73">
        <v>19</v>
      </c>
      <c r="G73">
        <v>11</v>
      </c>
      <c r="H73">
        <v>3</v>
      </c>
      <c r="N73">
        <v>2014</v>
      </c>
    </row>
    <row r="74" spans="3:14" x14ac:dyDescent="0.25">
      <c r="D74">
        <v>2015</v>
      </c>
      <c r="F74">
        <v>16</v>
      </c>
      <c r="G74">
        <v>9</v>
      </c>
      <c r="H74">
        <v>0</v>
      </c>
      <c r="N74">
        <v>2015</v>
      </c>
    </row>
    <row r="75" spans="3:14" x14ac:dyDescent="0.25">
      <c r="D75">
        <v>2016</v>
      </c>
      <c r="F75">
        <v>20</v>
      </c>
      <c r="G75">
        <v>9</v>
      </c>
      <c r="H75">
        <v>0</v>
      </c>
      <c r="N75">
        <v>2016</v>
      </c>
    </row>
    <row r="76" spans="3:14" x14ac:dyDescent="0.25">
      <c r="D76">
        <v>2017</v>
      </c>
      <c r="F76">
        <v>20</v>
      </c>
      <c r="G76">
        <v>13</v>
      </c>
      <c r="H76">
        <v>4</v>
      </c>
      <c r="N76">
        <v>2017</v>
      </c>
    </row>
    <row r="77" spans="3:14" x14ac:dyDescent="0.25">
      <c r="D77">
        <v>2018</v>
      </c>
      <c r="F77">
        <v>20</v>
      </c>
      <c r="G77">
        <v>9</v>
      </c>
      <c r="H77">
        <v>1</v>
      </c>
      <c r="N77">
        <v>2018</v>
      </c>
    </row>
    <row r="78" spans="3:14" x14ac:dyDescent="0.25">
      <c r="F78">
        <f>STDEV(F9:F77)/SQRT(69)</f>
        <v>0.28494346732166881</v>
      </c>
      <c r="G78">
        <f>STDEV(G9:G77)/SQRT(69)</f>
        <v>0.24763980974336916</v>
      </c>
      <c r="H78">
        <f>STDEV(H9:H77)/SQRT(69)</f>
        <v>0.2512555422616678</v>
      </c>
    </row>
    <row r="81" spans="4:18" x14ac:dyDescent="0.25">
      <c r="D81" s="4" t="s">
        <v>24</v>
      </c>
      <c r="N81" s="4" t="s">
        <v>24</v>
      </c>
    </row>
    <row r="83" spans="4:18" x14ac:dyDescent="0.25">
      <c r="D83" s="3" t="s">
        <v>25</v>
      </c>
      <c r="F83">
        <f>COUNT(F9:F77)</f>
        <v>69</v>
      </c>
      <c r="G83">
        <f t="shared" ref="G83:H83" si="0">COUNT(G9:G77)</f>
        <v>69</v>
      </c>
      <c r="H83">
        <f t="shared" si="0"/>
        <v>69</v>
      </c>
      <c r="N83" s="3" t="s">
        <v>25</v>
      </c>
      <c r="P83">
        <f t="shared" ref="P83:R83" si="1">COUNT(P9:P77)</f>
        <v>0</v>
      </c>
      <c r="Q83">
        <f t="shared" si="1"/>
        <v>0</v>
      </c>
      <c r="R83">
        <f t="shared" si="1"/>
        <v>0</v>
      </c>
    </row>
    <row r="84" spans="4:18" x14ac:dyDescent="0.25">
      <c r="D84" s="3" t="s">
        <v>5</v>
      </c>
      <c r="F84" s="6">
        <f>AVERAGE(F9:F77)</f>
        <v>17.565217391304348</v>
      </c>
      <c r="G84" s="6">
        <f t="shared" ref="G84:H84" si="2">AVERAGE(G9:G77)</f>
        <v>9.2173913043478262</v>
      </c>
      <c r="H84" s="6">
        <f t="shared" si="2"/>
        <v>1.2898550724637681</v>
      </c>
      <c r="N84" s="3" t="s">
        <v>5</v>
      </c>
      <c r="P84" s="6" t="e">
        <f>AVERAGE(P9:P77)</f>
        <v>#DIV/0!</v>
      </c>
      <c r="Q84" s="6" t="e">
        <f t="shared" ref="Q84:R84" si="3">AVERAGE(Q9:Q77)</f>
        <v>#DIV/0!</v>
      </c>
      <c r="R84" s="6" t="e">
        <f t="shared" si="3"/>
        <v>#DIV/0!</v>
      </c>
    </row>
    <row r="85" spans="4:18" x14ac:dyDescent="0.25">
      <c r="D85" s="3" t="s">
        <v>26</v>
      </c>
      <c r="F85" s="6">
        <f>STDEV(F9:F77)</f>
        <v>2.3669182052367908</v>
      </c>
      <c r="G85" s="6">
        <f t="shared" ref="G85:H85" si="4">STDEV(G9:G77)</f>
        <v>2.0570507530227622</v>
      </c>
      <c r="H85" s="6">
        <f t="shared" si="4"/>
        <v>2.0870852830411906</v>
      </c>
      <c r="N85" s="3" t="s">
        <v>26</v>
      </c>
      <c r="P85" s="6" t="e">
        <f>STDEV(P9:P77)</f>
        <v>#DIV/0!</v>
      </c>
      <c r="Q85" s="6" t="e">
        <f t="shared" ref="Q85:R85" si="5">STDEV(Q9:Q77)</f>
        <v>#DIV/0!</v>
      </c>
      <c r="R85" s="6" t="e">
        <f t="shared" si="5"/>
        <v>#DIV/0!</v>
      </c>
    </row>
  </sheetData>
  <hyperlinks>
    <hyperlink ref="B2" r:id="rId1" xr:uid="{6010F1EB-C928-8D47-A7A1-0E736C43D3E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8"/>
  <sheetViews>
    <sheetView workbookViewId="0">
      <selection activeCell="B2" sqref="B2"/>
    </sheetView>
  </sheetViews>
  <sheetFormatPr defaultColWidth="8.85546875" defaultRowHeight="15" x14ac:dyDescent="0.25"/>
  <sheetData>
    <row r="2" spans="1:2" x14ac:dyDescent="0.25">
      <c r="B2" t="s">
        <v>44</v>
      </c>
    </row>
    <row r="8" spans="1:2" x14ac:dyDescent="0.25">
      <c r="A8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CD96-06E5-2642-9B7B-201BF4B7777C}">
  <dimension ref="A1:D70"/>
  <sheetViews>
    <sheetView topLeftCell="A28" workbookViewId="0">
      <selection activeCell="D2" sqref="D2:D70"/>
    </sheetView>
  </sheetViews>
  <sheetFormatPr defaultColWidth="11.42578125" defaultRowHeight="15" x14ac:dyDescent="0.25"/>
  <sheetData>
    <row r="1" spans="1:4" x14ac:dyDescent="0.25">
      <c r="A1" t="s">
        <v>3</v>
      </c>
      <c r="B1" t="s">
        <v>15</v>
      </c>
      <c r="C1" t="s">
        <v>55</v>
      </c>
      <c r="D1" t="s">
        <v>56</v>
      </c>
    </row>
    <row r="2" spans="1:4" x14ac:dyDescent="0.25">
      <c r="A2">
        <v>1950</v>
      </c>
      <c r="B2">
        <v>2</v>
      </c>
      <c r="C2" s="9">
        <v>10.221590909090908</v>
      </c>
      <c r="D2" s="9">
        <f>B2-C2</f>
        <v>-8.2215909090909083</v>
      </c>
    </row>
    <row r="3" spans="1:4" x14ac:dyDescent="0.25">
      <c r="A3">
        <v>1951</v>
      </c>
      <c r="B3">
        <v>-2</v>
      </c>
      <c r="C3" s="9">
        <v>10.128787878787879</v>
      </c>
      <c r="D3" s="9">
        <f t="shared" ref="D3:D66" si="0">B3-C3</f>
        <v>-12.128787878787879</v>
      </c>
    </row>
    <row r="4" spans="1:4" x14ac:dyDescent="0.25">
      <c r="A4">
        <v>1952</v>
      </c>
      <c r="B4">
        <v>-4</v>
      </c>
      <c r="C4" s="9">
        <v>10.123106060606061</v>
      </c>
      <c r="D4" s="9">
        <f t="shared" si="0"/>
        <v>-14.123106060606061</v>
      </c>
    </row>
    <row r="5" spans="1:4" x14ac:dyDescent="0.25">
      <c r="A5">
        <v>1953</v>
      </c>
      <c r="B5">
        <v>-2</v>
      </c>
      <c r="C5" s="9">
        <v>10.395833333333334</v>
      </c>
      <c r="D5" s="9">
        <f t="shared" si="0"/>
        <v>-12.395833333333334</v>
      </c>
    </row>
    <row r="6" spans="1:4" x14ac:dyDescent="0.25">
      <c r="A6">
        <v>1954</v>
      </c>
      <c r="B6">
        <v>-7</v>
      </c>
      <c r="C6" s="9">
        <v>9.375</v>
      </c>
      <c r="D6" s="9">
        <f t="shared" si="0"/>
        <v>-16.375</v>
      </c>
    </row>
    <row r="7" spans="1:4" x14ac:dyDescent="0.25">
      <c r="A7">
        <v>1955</v>
      </c>
      <c r="B7">
        <v>-7</v>
      </c>
      <c r="C7" s="9">
        <v>10.145833333333332</v>
      </c>
      <c r="D7" s="9">
        <f t="shared" si="0"/>
        <v>-17.145833333333332</v>
      </c>
    </row>
    <row r="8" spans="1:4" x14ac:dyDescent="0.25">
      <c r="A8">
        <v>1956</v>
      </c>
      <c r="B8">
        <v>-6</v>
      </c>
      <c r="C8" s="9">
        <v>8.4439102564102555</v>
      </c>
      <c r="D8" s="9">
        <f t="shared" si="0"/>
        <v>-14.443910256410255</v>
      </c>
    </row>
    <row r="9" spans="1:4" x14ac:dyDescent="0.25">
      <c r="A9">
        <v>1957</v>
      </c>
      <c r="B9">
        <v>-8</v>
      </c>
      <c r="C9" s="9">
        <v>8.3076923076923084</v>
      </c>
      <c r="D9" s="9">
        <f t="shared" si="0"/>
        <v>-16.307692307692307</v>
      </c>
    </row>
    <row r="10" spans="1:4" x14ac:dyDescent="0.25">
      <c r="A10">
        <v>1958</v>
      </c>
      <c r="B10">
        <v>-6</v>
      </c>
      <c r="C10" s="9">
        <v>8.9615384615384617</v>
      </c>
      <c r="D10" s="9">
        <f t="shared" si="0"/>
        <v>-14.961538461538462</v>
      </c>
    </row>
    <row r="11" spans="1:4" x14ac:dyDescent="0.25">
      <c r="A11">
        <v>1959</v>
      </c>
      <c r="B11">
        <v>-6</v>
      </c>
      <c r="C11" s="9">
        <v>9.2580128205128212</v>
      </c>
      <c r="D11" s="9">
        <f t="shared" si="0"/>
        <v>-15.258012820512821</v>
      </c>
    </row>
    <row r="12" spans="1:4" x14ac:dyDescent="0.25">
      <c r="A12">
        <v>1960</v>
      </c>
      <c r="B12">
        <v>-3</v>
      </c>
      <c r="C12" s="9">
        <v>8.9615384615384617</v>
      </c>
      <c r="D12" s="9">
        <f t="shared" si="0"/>
        <v>-11.961538461538462</v>
      </c>
    </row>
    <row r="13" spans="1:4" x14ac:dyDescent="0.25">
      <c r="A13">
        <v>1961</v>
      </c>
      <c r="B13">
        <v>-8</v>
      </c>
      <c r="C13" s="9">
        <v>7.8461538461538458</v>
      </c>
      <c r="D13" s="9">
        <f t="shared" si="0"/>
        <v>-15.846153846153847</v>
      </c>
    </row>
    <row r="14" spans="1:4" x14ac:dyDescent="0.25">
      <c r="A14">
        <v>1962</v>
      </c>
      <c r="B14">
        <v>-7</v>
      </c>
      <c r="C14" s="9">
        <v>8.1730769230769234</v>
      </c>
      <c r="D14" s="9">
        <f t="shared" si="0"/>
        <v>-15.173076923076923</v>
      </c>
    </row>
    <row r="15" spans="1:4" x14ac:dyDescent="0.25">
      <c r="A15">
        <v>1963</v>
      </c>
      <c r="B15">
        <v>-7</v>
      </c>
      <c r="C15" s="9">
        <v>9.4230769230769234</v>
      </c>
      <c r="D15" s="9">
        <f t="shared" si="0"/>
        <v>-16.423076923076923</v>
      </c>
    </row>
    <row r="16" spans="1:4" x14ac:dyDescent="0.25">
      <c r="A16">
        <v>1964</v>
      </c>
      <c r="B16">
        <v>-4</v>
      </c>
      <c r="C16" s="9">
        <v>9.1730769230769234</v>
      </c>
      <c r="D16" s="9">
        <f t="shared" si="0"/>
        <v>-13.173076923076923</v>
      </c>
    </row>
    <row r="17" spans="1:4" x14ac:dyDescent="0.25">
      <c r="A17">
        <v>1965</v>
      </c>
      <c r="B17">
        <v>-7</v>
      </c>
      <c r="C17" s="9">
        <v>7.5384615384615383</v>
      </c>
      <c r="D17" s="9">
        <f t="shared" si="0"/>
        <v>-14.538461538461538</v>
      </c>
    </row>
    <row r="18" spans="1:4" x14ac:dyDescent="0.25">
      <c r="A18">
        <v>1966</v>
      </c>
      <c r="B18">
        <v>-7</v>
      </c>
      <c r="C18" s="9">
        <v>8.2692307692307701</v>
      </c>
      <c r="D18" s="9">
        <f t="shared" si="0"/>
        <v>-15.26923076923077</v>
      </c>
    </row>
    <row r="19" spans="1:4" x14ac:dyDescent="0.25">
      <c r="A19">
        <v>1967</v>
      </c>
      <c r="B19">
        <v>-2</v>
      </c>
      <c r="C19" s="9">
        <v>9.4038461538461533</v>
      </c>
      <c r="D19" s="9">
        <f t="shared" si="0"/>
        <v>-11.403846153846153</v>
      </c>
    </row>
    <row r="20" spans="1:4" x14ac:dyDescent="0.25">
      <c r="A20">
        <v>1968</v>
      </c>
      <c r="B20">
        <v>-8</v>
      </c>
      <c r="C20" s="9">
        <v>8.9807692307692299</v>
      </c>
      <c r="D20" s="9">
        <f t="shared" si="0"/>
        <v>-16.98076923076923</v>
      </c>
    </row>
    <row r="21" spans="1:4" x14ac:dyDescent="0.25">
      <c r="A21">
        <v>1969</v>
      </c>
      <c r="B21">
        <v>-6</v>
      </c>
      <c r="C21" s="9">
        <v>8.6201923076923066</v>
      </c>
      <c r="D21" s="9">
        <f t="shared" si="0"/>
        <v>-14.620192307692307</v>
      </c>
    </row>
    <row r="22" spans="1:4" x14ac:dyDescent="0.25">
      <c r="A22">
        <v>1970</v>
      </c>
      <c r="B22">
        <v>-8</v>
      </c>
      <c r="C22" s="9">
        <v>7.979166666666667</v>
      </c>
      <c r="D22" s="9">
        <f t="shared" si="0"/>
        <v>-15.979166666666668</v>
      </c>
    </row>
    <row r="23" spans="1:4" x14ac:dyDescent="0.25">
      <c r="A23">
        <v>1971</v>
      </c>
      <c r="B23">
        <v>-9</v>
      </c>
      <c r="C23" s="9">
        <v>8.125</v>
      </c>
      <c r="D23" s="9">
        <f t="shared" si="0"/>
        <v>-17.125</v>
      </c>
    </row>
    <row r="24" spans="1:4" x14ac:dyDescent="0.25">
      <c r="A24">
        <v>1972</v>
      </c>
      <c r="B24">
        <v>-4</v>
      </c>
      <c r="C24" s="9">
        <v>7.875</v>
      </c>
      <c r="D24" s="9">
        <f t="shared" si="0"/>
        <v>-11.875</v>
      </c>
    </row>
    <row r="25" spans="1:4" x14ac:dyDescent="0.25">
      <c r="A25">
        <v>1973</v>
      </c>
      <c r="B25">
        <v>-4</v>
      </c>
      <c r="C25" s="9">
        <v>9.4871794871794872</v>
      </c>
      <c r="D25" s="9">
        <f t="shared" si="0"/>
        <v>-13.487179487179487</v>
      </c>
    </row>
    <row r="26" spans="1:4" x14ac:dyDescent="0.25">
      <c r="A26">
        <v>1974</v>
      </c>
      <c r="B26">
        <v>-2</v>
      </c>
      <c r="C26" s="9">
        <v>8.9631410256410255</v>
      </c>
      <c r="D26" s="9">
        <f t="shared" si="0"/>
        <v>-10.963141025641026</v>
      </c>
    </row>
    <row r="27" spans="1:4" x14ac:dyDescent="0.25">
      <c r="A27">
        <v>1975</v>
      </c>
      <c r="B27">
        <v>-3</v>
      </c>
      <c r="C27" s="9">
        <v>9.4519230769230766</v>
      </c>
      <c r="D27" s="9">
        <f t="shared" si="0"/>
        <v>-12.451923076923077</v>
      </c>
    </row>
    <row r="28" spans="1:4" x14ac:dyDescent="0.25">
      <c r="A28">
        <v>1976</v>
      </c>
      <c r="B28">
        <v>-8</v>
      </c>
      <c r="C28" s="9">
        <v>7.8333333333333339</v>
      </c>
      <c r="D28" s="9">
        <f t="shared" si="0"/>
        <v>-15.833333333333334</v>
      </c>
    </row>
    <row r="29" spans="1:4" x14ac:dyDescent="0.25">
      <c r="A29">
        <v>1977</v>
      </c>
      <c r="B29">
        <v>-9</v>
      </c>
      <c r="C29" s="9">
        <v>7.8518356643356633</v>
      </c>
      <c r="D29" s="9">
        <f t="shared" si="0"/>
        <v>-16.851835664335663</v>
      </c>
    </row>
    <row r="30" spans="1:4" x14ac:dyDescent="0.25">
      <c r="A30">
        <v>1978</v>
      </c>
      <c r="B30">
        <v>-7</v>
      </c>
      <c r="C30" s="9">
        <v>7.8181818181818175</v>
      </c>
      <c r="D30" s="9">
        <f t="shared" si="0"/>
        <v>-14.818181818181817</v>
      </c>
    </row>
    <row r="31" spans="1:4" x14ac:dyDescent="0.25">
      <c r="A31">
        <v>1979</v>
      </c>
      <c r="B31">
        <v>-6</v>
      </c>
      <c r="C31" s="9">
        <v>8.7010489510489499</v>
      </c>
      <c r="D31" s="9">
        <f t="shared" si="0"/>
        <v>-14.70104895104895</v>
      </c>
    </row>
    <row r="32" spans="1:4" x14ac:dyDescent="0.25">
      <c r="A32">
        <v>1980</v>
      </c>
      <c r="B32">
        <v>-4</v>
      </c>
      <c r="C32" s="9">
        <v>8.9943181818181817</v>
      </c>
      <c r="D32" s="9">
        <f t="shared" si="0"/>
        <v>-12.994318181818182</v>
      </c>
    </row>
    <row r="33" spans="1:4" x14ac:dyDescent="0.25">
      <c r="A33">
        <v>1981</v>
      </c>
      <c r="B33">
        <v>-8</v>
      </c>
      <c r="C33" s="9">
        <v>7.6984265734265733</v>
      </c>
      <c r="D33" s="9">
        <f t="shared" si="0"/>
        <v>-15.698426573426573</v>
      </c>
    </row>
    <row r="34" spans="1:4" x14ac:dyDescent="0.25">
      <c r="A34">
        <v>1982</v>
      </c>
      <c r="B34">
        <v>-9</v>
      </c>
      <c r="C34" s="9">
        <v>7.7323717948717956</v>
      </c>
      <c r="D34" s="9">
        <f t="shared" si="0"/>
        <v>-16.732371794871796</v>
      </c>
    </row>
    <row r="35" spans="1:4" x14ac:dyDescent="0.25">
      <c r="A35">
        <v>1983</v>
      </c>
      <c r="B35">
        <v>-4</v>
      </c>
      <c r="C35" s="9">
        <v>9.3589743589743595</v>
      </c>
      <c r="D35" s="9">
        <f t="shared" si="0"/>
        <v>-13.358974358974359</v>
      </c>
    </row>
    <row r="36" spans="1:4" x14ac:dyDescent="0.25">
      <c r="A36">
        <v>1984</v>
      </c>
      <c r="B36">
        <v>-6</v>
      </c>
      <c r="C36" s="9">
        <v>8.6730769230769234</v>
      </c>
      <c r="D36" s="9">
        <f t="shared" si="0"/>
        <v>-14.673076923076923</v>
      </c>
    </row>
    <row r="37" spans="1:4" x14ac:dyDescent="0.25">
      <c r="A37">
        <v>1985</v>
      </c>
      <c r="B37">
        <v>-6</v>
      </c>
      <c r="C37" s="9">
        <v>8.5769230769230766</v>
      </c>
      <c r="D37" s="9">
        <f t="shared" si="0"/>
        <v>-14.576923076923077</v>
      </c>
    </row>
    <row r="38" spans="1:4" x14ac:dyDescent="0.25">
      <c r="A38">
        <v>1986</v>
      </c>
      <c r="B38">
        <v>-4</v>
      </c>
      <c r="C38" s="9">
        <v>9.0769230769230766</v>
      </c>
      <c r="D38" s="9">
        <f t="shared" si="0"/>
        <v>-13.076923076923077</v>
      </c>
    </row>
    <row r="39" spans="1:4" x14ac:dyDescent="0.25">
      <c r="A39">
        <v>1987</v>
      </c>
      <c r="B39">
        <v>-4</v>
      </c>
      <c r="C39" s="9">
        <v>8.9615384615384617</v>
      </c>
      <c r="D39" s="9">
        <f t="shared" si="0"/>
        <v>-12.961538461538462</v>
      </c>
    </row>
    <row r="40" spans="1:4" x14ac:dyDescent="0.25">
      <c r="A40">
        <v>1988</v>
      </c>
      <c r="B40">
        <v>-5</v>
      </c>
      <c r="C40" s="9">
        <v>8.5</v>
      </c>
      <c r="D40" s="9">
        <f t="shared" si="0"/>
        <v>-13.5</v>
      </c>
    </row>
    <row r="41" spans="1:4" x14ac:dyDescent="0.25">
      <c r="A41">
        <v>1989</v>
      </c>
      <c r="B41">
        <v>-2</v>
      </c>
      <c r="C41" s="9">
        <v>9.2884615384615383</v>
      </c>
      <c r="D41" s="9">
        <f t="shared" si="0"/>
        <v>-11.288461538461538</v>
      </c>
    </row>
    <row r="42" spans="1:4" x14ac:dyDescent="0.25">
      <c r="A42">
        <v>1990</v>
      </c>
      <c r="B42">
        <v>0</v>
      </c>
      <c r="C42" s="9">
        <v>10.76923076923077</v>
      </c>
      <c r="D42" s="9">
        <f t="shared" si="0"/>
        <v>-10.76923076923077</v>
      </c>
    </row>
    <row r="43" spans="1:4" x14ac:dyDescent="0.25">
      <c r="A43">
        <v>1991</v>
      </c>
      <c r="B43">
        <v>-4</v>
      </c>
      <c r="C43" s="9">
        <v>9.9230769230769234</v>
      </c>
      <c r="D43" s="9">
        <f t="shared" si="0"/>
        <v>-13.923076923076923</v>
      </c>
    </row>
    <row r="44" spans="1:4" x14ac:dyDescent="0.25">
      <c r="A44">
        <v>1992</v>
      </c>
      <c r="B44">
        <v>-3</v>
      </c>
      <c r="C44" s="9">
        <v>7.9038461538461542</v>
      </c>
      <c r="D44" s="9">
        <f t="shared" si="0"/>
        <v>-10.903846153846153</v>
      </c>
    </row>
    <row r="45" spans="1:4" x14ac:dyDescent="0.25">
      <c r="A45">
        <v>1993</v>
      </c>
      <c r="B45">
        <v>-3</v>
      </c>
      <c r="C45" s="9">
        <v>9.0384615384615383</v>
      </c>
      <c r="D45" s="9">
        <f t="shared" si="0"/>
        <v>-12.038461538461538</v>
      </c>
    </row>
    <row r="46" spans="1:4" x14ac:dyDescent="0.25">
      <c r="A46">
        <v>1994</v>
      </c>
      <c r="B46">
        <v>-8</v>
      </c>
      <c r="C46" s="9">
        <v>8.365384615384615</v>
      </c>
      <c r="D46" s="9">
        <f t="shared" si="0"/>
        <v>-16.365384615384613</v>
      </c>
    </row>
    <row r="47" spans="1:4" x14ac:dyDescent="0.25">
      <c r="A47">
        <v>1995</v>
      </c>
      <c r="B47">
        <v>-2</v>
      </c>
      <c r="C47" s="9">
        <v>10.201923076923077</v>
      </c>
      <c r="D47" s="9">
        <f t="shared" si="0"/>
        <v>-12.201923076923077</v>
      </c>
    </row>
    <row r="48" spans="1:4" x14ac:dyDescent="0.25">
      <c r="A48">
        <v>1996</v>
      </c>
      <c r="B48">
        <v>-5</v>
      </c>
      <c r="C48" s="9">
        <v>8.4375</v>
      </c>
      <c r="D48" s="9">
        <f t="shared" si="0"/>
        <v>-13.4375</v>
      </c>
    </row>
    <row r="49" spans="1:4" x14ac:dyDescent="0.25">
      <c r="A49">
        <v>1997</v>
      </c>
      <c r="B49">
        <v>-6</v>
      </c>
      <c r="C49" s="9">
        <v>8.7897727272727266</v>
      </c>
      <c r="D49" s="9">
        <f t="shared" si="0"/>
        <v>-14.789772727272727</v>
      </c>
    </row>
    <row r="50" spans="1:4" x14ac:dyDescent="0.25">
      <c r="A50">
        <v>1998</v>
      </c>
      <c r="B50">
        <v>0</v>
      </c>
      <c r="C50" s="9">
        <v>10.25</v>
      </c>
      <c r="D50" s="9">
        <f t="shared" si="0"/>
        <v>-10.25</v>
      </c>
    </row>
    <row r="51" spans="1:4" x14ac:dyDescent="0.25">
      <c r="A51">
        <v>1999</v>
      </c>
      <c r="B51">
        <v>-5</v>
      </c>
      <c r="C51" s="9">
        <v>9.5208333333333339</v>
      </c>
      <c r="D51" s="9">
        <f t="shared" si="0"/>
        <v>-14.520833333333334</v>
      </c>
    </row>
    <row r="52" spans="1:4" x14ac:dyDescent="0.25">
      <c r="A52">
        <v>2000</v>
      </c>
      <c r="B52">
        <v>-6</v>
      </c>
      <c r="C52" s="9">
        <v>8.4053030303030294</v>
      </c>
      <c r="D52" s="9">
        <f t="shared" si="0"/>
        <v>-14.405303030303029</v>
      </c>
    </row>
    <row r="53" spans="1:4" x14ac:dyDescent="0.25">
      <c r="A53">
        <v>2001</v>
      </c>
      <c r="B53">
        <v>-4</v>
      </c>
      <c r="C53" s="9">
        <v>9.2708333333333339</v>
      </c>
      <c r="D53" s="9">
        <f t="shared" si="0"/>
        <v>-13.270833333333334</v>
      </c>
    </row>
    <row r="54" spans="1:4" x14ac:dyDescent="0.25">
      <c r="A54">
        <v>2002</v>
      </c>
      <c r="B54">
        <v>-1</v>
      </c>
      <c r="C54" s="9">
        <v>10.3125</v>
      </c>
      <c r="D54" s="9">
        <f t="shared" si="0"/>
        <v>-11.3125</v>
      </c>
    </row>
    <row r="55" spans="1:4" x14ac:dyDescent="0.25">
      <c r="A55">
        <v>2003</v>
      </c>
      <c r="B55">
        <v>-9</v>
      </c>
      <c r="C55" s="9">
        <v>7.7083333333333339</v>
      </c>
      <c r="D55" s="9">
        <f t="shared" si="0"/>
        <v>-16.708333333333336</v>
      </c>
    </row>
    <row r="56" spans="1:4" x14ac:dyDescent="0.25">
      <c r="A56">
        <v>2004</v>
      </c>
      <c r="B56">
        <v>-10</v>
      </c>
      <c r="C56" s="9">
        <v>7.8958333333333339</v>
      </c>
      <c r="D56" s="9">
        <f t="shared" si="0"/>
        <v>-17.895833333333336</v>
      </c>
    </row>
    <row r="57" spans="1:4" x14ac:dyDescent="0.25">
      <c r="A57">
        <v>2005</v>
      </c>
      <c r="B57">
        <v>-6</v>
      </c>
      <c r="C57" s="9">
        <v>9.5</v>
      </c>
      <c r="D57" s="9">
        <f t="shared" si="0"/>
        <v>-15.5</v>
      </c>
    </row>
    <row r="58" spans="1:4" x14ac:dyDescent="0.25">
      <c r="A58">
        <v>2006</v>
      </c>
      <c r="B58">
        <v>0</v>
      </c>
      <c r="C58" s="9">
        <v>10.75</v>
      </c>
      <c r="D58" s="9">
        <f t="shared" si="0"/>
        <v>-10.75</v>
      </c>
    </row>
    <row r="59" spans="1:4" x14ac:dyDescent="0.25">
      <c r="A59">
        <v>2007</v>
      </c>
      <c r="B59">
        <v>-3</v>
      </c>
      <c r="C59" s="9">
        <v>10.125</v>
      </c>
      <c r="D59" s="9">
        <f t="shared" si="0"/>
        <v>-13.125</v>
      </c>
    </row>
    <row r="60" spans="1:4" x14ac:dyDescent="0.25">
      <c r="A60">
        <v>2008</v>
      </c>
      <c r="B60">
        <v>-2</v>
      </c>
      <c r="C60" s="9">
        <v>10.096153846153847</v>
      </c>
      <c r="D60" s="9">
        <f t="shared" si="0"/>
        <v>-12.096153846153847</v>
      </c>
    </row>
    <row r="61" spans="1:4" x14ac:dyDescent="0.25">
      <c r="A61">
        <v>2009</v>
      </c>
      <c r="B61">
        <v>-8</v>
      </c>
      <c r="C61" s="9">
        <v>7.8461538461538458</v>
      </c>
      <c r="D61" s="9">
        <f t="shared" si="0"/>
        <v>-15.846153846153847</v>
      </c>
    </row>
    <row r="62" spans="1:4" x14ac:dyDescent="0.25">
      <c r="A62">
        <v>2010</v>
      </c>
      <c r="B62">
        <v>-5</v>
      </c>
      <c r="C62" s="9">
        <v>10.365384615384617</v>
      </c>
      <c r="D62" s="9">
        <f t="shared" si="0"/>
        <v>-15.365384615384617</v>
      </c>
    </row>
    <row r="63" spans="1:4" x14ac:dyDescent="0.25">
      <c r="A63">
        <v>2011</v>
      </c>
      <c r="B63">
        <v>-6</v>
      </c>
      <c r="C63" s="9">
        <v>9.4230769230769234</v>
      </c>
      <c r="D63" s="9">
        <f t="shared" si="0"/>
        <v>-15.423076923076923</v>
      </c>
    </row>
    <row r="64" spans="1:4" x14ac:dyDescent="0.25">
      <c r="A64">
        <v>2012</v>
      </c>
      <c r="B64">
        <v>-2</v>
      </c>
      <c r="C64" s="9">
        <v>10.75</v>
      </c>
      <c r="D64" s="9">
        <f t="shared" si="0"/>
        <v>-12.75</v>
      </c>
    </row>
    <row r="65" spans="1:4" x14ac:dyDescent="0.25">
      <c r="A65">
        <v>2013</v>
      </c>
      <c r="B65">
        <v>-3</v>
      </c>
      <c r="C65" s="9">
        <v>10.21153846153846</v>
      </c>
      <c r="D65" s="9">
        <f t="shared" si="0"/>
        <v>-13.21153846153846</v>
      </c>
    </row>
    <row r="66" spans="1:4" x14ac:dyDescent="0.25">
      <c r="A66">
        <v>2014</v>
      </c>
      <c r="B66">
        <v>-8</v>
      </c>
      <c r="C66" s="9">
        <v>9.0384615384615383</v>
      </c>
      <c r="D66" s="9">
        <f t="shared" si="0"/>
        <v>-17.03846153846154</v>
      </c>
    </row>
    <row r="67" spans="1:4" x14ac:dyDescent="0.25">
      <c r="A67">
        <v>2015</v>
      </c>
      <c r="B67">
        <v>-8</v>
      </c>
      <c r="C67" s="9">
        <v>8.5576923076923084</v>
      </c>
      <c r="D67" s="9">
        <f t="shared" ref="D67:D70" si="1">B67-C67</f>
        <v>-16.557692307692307</v>
      </c>
    </row>
    <row r="68" spans="1:4" x14ac:dyDescent="0.25">
      <c r="A68">
        <v>2016</v>
      </c>
      <c r="B68">
        <v>-4</v>
      </c>
      <c r="C68" s="9">
        <v>9.75</v>
      </c>
      <c r="D68" s="9">
        <f t="shared" si="1"/>
        <v>-13.75</v>
      </c>
    </row>
    <row r="69" spans="1:4" x14ac:dyDescent="0.25">
      <c r="A69">
        <v>2017</v>
      </c>
      <c r="B69">
        <v>-2</v>
      </c>
      <c r="C69" s="9">
        <v>11.51923076923077</v>
      </c>
      <c r="D69" s="9">
        <f t="shared" si="1"/>
        <v>-13.51923076923077</v>
      </c>
    </row>
    <row r="70" spans="1:4" x14ac:dyDescent="0.25">
      <c r="A70">
        <v>2018</v>
      </c>
      <c r="B70">
        <v>-6</v>
      </c>
      <c r="C70" s="9">
        <v>8.6730769230769234</v>
      </c>
      <c r="D70" s="9">
        <f t="shared" si="1"/>
        <v>-14.673076923076923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CA81-C02B-EF40-B839-0BDC24B6E917}">
  <dimension ref="A1:D70"/>
  <sheetViews>
    <sheetView topLeftCell="A28" workbookViewId="0">
      <selection activeCell="D2" sqref="D2:D70"/>
    </sheetView>
  </sheetViews>
  <sheetFormatPr defaultColWidth="11.42578125" defaultRowHeight="15" x14ac:dyDescent="0.25"/>
  <sheetData>
    <row r="1" spans="1:4" x14ac:dyDescent="0.25">
      <c r="A1" t="s">
        <v>3</v>
      </c>
      <c r="B1" t="s">
        <v>20</v>
      </c>
      <c r="C1" t="s">
        <v>55</v>
      </c>
      <c r="D1" t="s">
        <v>56</v>
      </c>
    </row>
    <row r="2" spans="1:4" x14ac:dyDescent="0.25">
      <c r="A2">
        <v>1950</v>
      </c>
      <c r="B2">
        <v>5</v>
      </c>
      <c r="C2" s="9">
        <v>10.221590909090908</v>
      </c>
      <c r="D2" s="9">
        <f>B2-C2</f>
        <v>-5.2215909090909083</v>
      </c>
    </row>
    <row r="3" spans="1:4" x14ac:dyDescent="0.25">
      <c r="A3">
        <v>1951</v>
      </c>
      <c r="B3">
        <v>8</v>
      </c>
      <c r="C3" s="9">
        <v>10.128787878787879</v>
      </c>
      <c r="D3" s="9">
        <f t="shared" ref="D3:D66" si="0">B3-C3</f>
        <v>-2.1287878787878789</v>
      </c>
    </row>
    <row r="4" spans="1:4" x14ac:dyDescent="0.25">
      <c r="A4">
        <v>1952</v>
      </c>
      <c r="B4">
        <v>8</v>
      </c>
      <c r="C4" s="9">
        <v>10.123106060606061</v>
      </c>
      <c r="D4" s="9">
        <f t="shared" si="0"/>
        <v>-2.1231060606060606</v>
      </c>
    </row>
    <row r="5" spans="1:4" x14ac:dyDescent="0.25">
      <c r="A5">
        <v>1953</v>
      </c>
      <c r="B5">
        <v>6</v>
      </c>
      <c r="C5" s="9">
        <v>10.395833333333334</v>
      </c>
      <c r="D5" s="9">
        <f t="shared" si="0"/>
        <v>-4.3958333333333339</v>
      </c>
    </row>
    <row r="6" spans="1:4" x14ac:dyDescent="0.25">
      <c r="A6">
        <v>1954</v>
      </c>
      <c r="B6">
        <v>8</v>
      </c>
      <c r="C6" s="9">
        <v>9.375</v>
      </c>
      <c r="D6" s="9">
        <f t="shared" si="0"/>
        <v>-1.375</v>
      </c>
    </row>
    <row r="7" spans="1:4" x14ac:dyDescent="0.25">
      <c r="A7">
        <v>1955</v>
      </c>
      <c r="B7">
        <v>9</v>
      </c>
      <c r="C7" s="9">
        <v>10.145833333333332</v>
      </c>
      <c r="D7" s="9">
        <f t="shared" si="0"/>
        <v>-1.1458333333333321</v>
      </c>
    </row>
    <row r="8" spans="1:4" x14ac:dyDescent="0.25">
      <c r="A8">
        <v>1956</v>
      </c>
      <c r="B8">
        <v>5</v>
      </c>
      <c r="C8" s="9">
        <v>8.4439102564102555</v>
      </c>
      <c r="D8" s="9">
        <f t="shared" si="0"/>
        <v>-3.4439102564102555</v>
      </c>
    </row>
    <row r="9" spans="1:4" x14ac:dyDescent="0.25">
      <c r="A9">
        <v>1957</v>
      </c>
      <c r="B9">
        <v>8</v>
      </c>
      <c r="C9" s="9">
        <v>8.3076923076923084</v>
      </c>
      <c r="D9" s="9">
        <f t="shared" si="0"/>
        <v>-0.30769230769230838</v>
      </c>
    </row>
    <row r="10" spans="1:4" x14ac:dyDescent="0.25">
      <c r="A10">
        <v>1958</v>
      </c>
      <c r="B10">
        <v>7</v>
      </c>
      <c r="C10" s="9">
        <v>8.9615384615384617</v>
      </c>
      <c r="D10" s="9">
        <f t="shared" si="0"/>
        <v>-1.9615384615384617</v>
      </c>
    </row>
    <row r="11" spans="1:4" x14ac:dyDescent="0.25">
      <c r="A11">
        <v>1959</v>
      </c>
      <c r="B11">
        <v>8</v>
      </c>
      <c r="C11" s="9">
        <v>9.2580128205128212</v>
      </c>
      <c r="D11" s="9">
        <f t="shared" si="0"/>
        <v>-1.2580128205128212</v>
      </c>
    </row>
    <row r="12" spans="1:4" x14ac:dyDescent="0.25">
      <c r="A12">
        <v>1960</v>
      </c>
      <c r="B12">
        <v>9</v>
      </c>
      <c r="C12" s="9">
        <v>8.9615384615384617</v>
      </c>
      <c r="D12" s="9">
        <f t="shared" si="0"/>
        <v>3.8461538461538325E-2</v>
      </c>
    </row>
    <row r="13" spans="1:4" x14ac:dyDescent="0.25">
      <c r="A13">
        <v>1961</v>
      </c>
      <c r="B13">
        <v>4</v>
      </c>
      <c r="C13" s="9">
        <v>7.8461538461538458</v>
      </c>
      <c r="D13" s="9">
        <f t="shared" si="0"/>
        <v>-3.8461538461538458</v>
      </c>
    </row>
    <row r="14" spans="1:4" x14ac:dyDescent="0.25">
      <c r="A14">
        <v>1962</v>
      </c>
      <c r="B14">
        <v>7</v>
      </c>
      <c r="C14" s="9">
        <v>8.1730769230769234</v>
      </c>
      <c r="D14" s="9">
        <f t="shared" si="0"/>
        <v>-1.1730769230769234</v>
      </c>
    </row>
    <row r="15" spans="1:4" x14ac:dyDescent="0.25">
      <c r="A15">
        <v>1963</v>
      </c>
      <c r="B15">
        <v>7</v>
      </c>
      <c r="C15" s="9">
        <v>9.4230769230769234</v>
      </c>
      <c r="D15" s="9">
        <f t="shared" si="0"/>
        <v>-2.4230769230769234</v>
      </c>
    </row>
    <row r="16" spans="1:4" x14ac:dyDescent="0.25">
      <c r="A16">
        <v>1964</v>
      </c>
      <c r="B16">
        <v>6</v>
      </c>
      <c r="C16" s="9">
        <v>9.1730769230769234</v>
      </c>
      <c r="D16" s="9">
        <f t="shared" si="0"/>
        <v>-3.1730769230769234</v>
      </c>
    </row>
    <row r="17" spans="1:4" x14ac:dyDescent="0.25">
      <c r="A17">
        <v>1965</v>
      </c>
      <c r="B17">
        <v>4</v>
      </c>
      <c r="C17" s="9">
        <v>7.5384615384615383</v>
      </c>
      <c r="D17" s="9">
        <f t="shared" si="0"/>
        <v>-3.5384615384615383</v>
      </c>
    </row>
    <row r="18" spans="1:4" x14ac:dyDescent="0.25">
      <c r="A18">
        <v>1966</v>
      </c>
      <c r="B18">
        <v>5</v>
      </c>
      <c r="C18" s="9">
        <v>8.2692307692307701</v>
      </c>
      <c r="D18" s="9">
        <f t="shared" si="0"/>
        <v>-3.2692307692307701</v>
      </c>
    </row>
    <row r="19" spans="1:4" x14ac:dyDescent="0.25">
      <c r="A19">
        <v>1967</v>
      </c>
      <c r="B19">
        <v>6</v>
      </c>
      <c r="C19" s="9">
        <v>9.4038461538461533</v>
      </c>
      <c r="D19" s="9">
        <f t="shared" si="0"/>
        <v>-3.4038461538461533</v>
      </c>
    </row>
    <row r="20" spans="1:4" x14ac:dyDescent="0.25">
      <c r="A20">
        <v>1968</v>
      </c>
      <c r="B20">
        <v>9</v>
      </c>
      <c r="C20" s="9">
        <v>8.9807692307692299</v>
      </c>
      <c r="D20" s="9">
        <f t="shared" si="0"/>
        <v>1.9230769230770051E-2</v>
      </c>
    </row>
    <row r="21" spans="1:4" x14ac:dyDescent="0.25">
      <c r="A21">
        <v>1969</v>
      </c>
      <c r="B21">
        <v>9</v>
      </c>
      <c r="C21" s="9">
        <v>8.6201923076923066</v>
      </c>
      <c r="D21" s="9">
        <f t="shared" si="0"/>
        <v>0.3798076923076934</v>
      </c>
    </row>
    <row r="22" spans="1:4" x14ac:dyDescent="0.25">
      <c r="A22">
        <v>1970</v>
      </c>
      <c r="B22">
        <v>7</v>
      </c>
      <c r="C22" s="9">
        <v>7.979166666666667</v>
      </c>
      <c r="D22" s="9">
        <f t="shared" si="0"/>
        <v>-0.97916666666666696</v>
      </c>
    </row>
    <row r="23" spans="1:4" x14ac:dyDescent="0.25">
      <c r="A23">
        <v>1971</v>
      </c>
      <c r="B23">
        <v>5</v>
      </c>
      <c r="C23" s="9">
        <v>8.125</v>
      </c>
      <c r="D23" s="9">
        <f t="shared" si="0"/>
        <v>-3.125</v>
      </c>
    </row>
    <row r="24" spans="1:4" x14ac:dyDescent="0.25">
      <c r="A24">
        <v>1972</v>
      </c>
      <c r="B24">
        <v>4</v>
      </c>
      <c r="C24" s="9">
        <v>7.875</v>
      </c>
      <c r="D24" s="9">
        <f t="shared" si="0"/>
        <v>-3.875</v>
      </c>
    </row>
    <row r="25" spans="1:4" x14ac:dyDescent="0.25">
      <c r="A25">
        <v>1973</v>
      </c>
      <c r="B25">
        <v>7</v>
      </c>
      <c r="C25" s="9">
        <v>9.4871794871794872</v>
      </c>
      <c r="D25" s="9">
        <f t="shared" si="0"/>
        <v>-2.4871794871794872</v>
      </c>
    </row>
    <row r="26" spans="1:4" x14ac:dyDescent="0.25">
      <c r="A26">
        <v>1974</v>
      </c>
      <c r="B26">
        <v>9</v>
      </c>
      <c r="C26" s="9">
        <v>8.9631410256410255</v>
      </c>
      <c r="D26" s="9">
        <f t="shared" si="0"/>
        <v>3.685897435897445E-2</v>
      </c>
    </row>
    <row r="27" spans="1:4" x14ac:dyDescent="0.25">
      <c r="A27">
        <v>1975</v>
      </c>
      <c r="B27">
        <v>3</v>
      </c>
      <c r="C27" s="9">
        <v>9.4519230769230766</v>
      </c>
      <c r="D27" s="9">
        <f t="shared" si="0"/>
        <v>-6.4519230769230766</v>
      </c>
    </row>
    <row r="28" spans="1:4" x14ac:dyDescent="0.25">
      <c r="A28">
        <v>1976</v>
      </c>
      <c r="B28">
        <v>8</v>
      </c>
      <c r="C28" s="9">
        <v>7.8333333333333339</v>
      </c>
      <c r="D28" s="9">
        <f t="shared" si="0"/>
        <v>0.16666666666666607</v>
      </c>
    </row>
    <row r="29" spans="1:4" x14ac:dyDescent="0.25">
      <c r="A29">
        <v>1977</v>
      </c>
      <c r="B29">
        <v>8</v>
      </c>
      <c r="C29" s="9">
        <v>7.8518356643356633</v>
      </c>
      <c r="D29" s="9">
        <f t="shared" si="0"/>
        <v>0.14816433566433673</v>
      </c>
    </row>
    <row r="30" spans="1:4" x14ac:dyDescent="0.25">
      <c r="A30">
        <v>1978</v>
      </c>
      <c r="B30">
        <v>5</v>
      </c>
      <c r="C30" s="9">
        <v>7.8181818181818175</v>
      </c>
      <c r="D30" s="9">
        <f t="shared" si="0"/>
        <v>-2.8181818181818175</v>
      </c>
    </row>
    <row r="31" spans="1:4" x14ac:dyDescent="0.25">
      <c r="A31">
        <v>1979</v>
      </c>
      <c r="B31">
        <v>5</v>
      </c>
      <c r="C31" s="9">
        <v>8.7010489510489499</v>
      </c>
      <c r="D31" s="9">
        <f t="shared" si="0"/>
        <v>-3.7010489510489499</v>
      </c>
    </row>
    <row r="32" spans="1:4" x14ac:dyDescent="0.25">
      <c r="A32">
        <v>1980</v>
      </c>
      <c r="B32">
        <v>7</v>
      </c>
      <c r="C32" s="9">
        <v>8.9943181818181817</v>
      </c>
      <c r="D32" s="9">
        <f t="shared" si="0"/>
        <v>-1.9943181818181817</v>
      </c>
    </row>
    <row r="33" spans="1:4" x14ac:dyDescent="0.25">
      <c r="A33">
        <v>1981</v>
      </c>
      <c r="B33">
        <v>8</v>
      </c>
      <c r="C33" s="9">
        <v>7.6984265734265733</v>
      </c>
      <c r="D33" s="9">
        <f t="shared" si="0"/>
        <v>0.30157342657342667</v>
      </c>
    </row>
    <row r="34" spans="1:4" x14ac:dyDescent="0.25">
      <c r="A34">
        <v>1982</v>
      </c>
      <c r="B34">
        <v>5</v>
      </c>
      <c r="C34" s="9">
        <v>7.7323717948717956</v>
      </c>
      <c r="D34" s="9">
        <f t="shared" si="0"/>
        <v>-2.7323717948717956</v>
      </c>
    </row>
    <row r="35" spans="1:4" x14ac:dyDescent="0.25">
      <c r="A35">
        <v>1983</v>
      </c>
      <c r="B35">
        <v>5</v>
      </c>
      <c r="C35" s="9">
        <v>9.3589743589743595</v>
      </c>
      <c r="D35" s="9">
        <f t="shared" si="0"/>
        <v>-4.3589743589743595</v>
      </c>
    </row>
    <row r="36" spans="1:4" x14ac:dyDescent="0.25">
      <c r="A36">
        <v>1984</v>
      </c>
      <c r="B36">
        <v>6</v>
      </c>
      <c r="C36" s="9">
        <v>8.6730769230769234</v>
      </c>
      <c r="D36" s="9">
        <f t="shared" si="0"/>
        <v>-2.6730769230769234</v>
      </c>
    </row>
    <row r="37" spans="1:4" x14ac:dyDescent="0.25">
      <c r="A37">
        <v>1985</v>
      </c>
      <c r="B37">
        <v>8</v>
      </c>
      <c r="C37" s="9">
        <v>8.5769230769230766</v>
      </c>
      <c r="D37" s="9">
        <f t="shared" si="0"/>
        <v>-0.57692307692307665</v>
      </c>
    </row>
    <row r="38" spans="1:4" x14ac:dyDescent="0.25">
      <c r="A38">
        <v>1986</v>
      </c>
      <c r="B38">
        <v>8</v>
      </c>
      <c r="C38" s="9">
        <v>9.0769230769230766</v>
      </c>
      <c r="D38" s="9">
        <f t="shared" si="0"/>
        <v>-1.0769230769230766</v>
      </c>
    </row>
    <row r="39" spans="1:4" x14ac:dyDescent="0.25">
      <c r="A39">
        <v>1987</v>
      </c>
      <c r="B39">
        <v>8</v>
      </c>
      <c r="C39" s="9">
        <v>8.9615384615384617</v>
      </c>
      <c r="D39" s="9">
        <f t="shared" si="0"/>
        <v>-0.96153846153846168</v>
      </c>
    </row>
    <row r="40" spans="1:4" x14ac:dyDescent="0.25">
      <c r="A40">
        <v>1988</v>
      </c>
      <c r="B40">
        <v>5</v>
      </c>
      <c r="C40" s="9">
        <v>8.5</v>
      </c>
      <c r="D40" s="9">
        <f t="shared" si="0"/>
        <v>-3.5</v>
      </c>
    </row>
    <row r="41" spans="1:4" x14ac:dyDescent="0.25">
      <c r="A41">
        <v>1989</v>
      </c>
      <c r="B41">
        <v>4</v>
      </c>
      <c r="C41" s="9">
        <v>9.2884615384615383</v>
      </c>
      <c r="D41" s="9">
        <f t="shared" si="0"/>
        <v>-5.2884615384615383</v>
      </c>
    </row>
    <row r="42" spans="1:4" x14ac:dyDescent="0.25">
      <c r="A42">
        <v>1990</v>
      </c>
      <c r="B42">
        <v>8</v>
      </c>
      <c r="C42" s="9">
        <v>10.76923076923077</v>
      </c>
      <c r="D42" s="9">
        <f t="shared" si="0"/>
        <v>-2.7692307692307701</v>
      </c>
    </row>
    <row r="43" spans="1:4" x14ac:dyDescent="0.25">
      <c r="A43">
        <v>1991</v>
      </c>
      <c r="B43">
        <v>9</v>
      </c>
      <c r="C43" s="9">
        <v>9.9230769230769234</v>
      </c>
      <c r="D43" s="9">
        <f t="shared" si="0"/>
        <v>-0.92307692307692335</v>
      </c>
    </row>
    <row r="44" spans="1:4" x14ac:dyDescent="0.25">
      <c r="A44">
        <v>1992</v>
      </c>
      <c r="B44">
        <v>6</v>
      </c>
      <c r="C44" s="9">
        <v>7.9038461538461542</v>
      </c>
      <c r="D44" s="9">
        <f t="shared" si="0"/>
        <v>-1.9038461538461542</v>
      </c>
    </row>
    <row r="45" spans="1:4" x14ac:dyDescent="0.25">
      <c r="A45">
        <v>1993</v>
      </c>
      <c r="B45">
        <v>6</v>
      </c>
      <c r="C45" s="9">
        <v>9.0384615384615383</v>
      </c>
      <c r="D45" s="9">
        <f t="shared" si="0"/>
        <v>-3.0384615384615383</v>
      </c>
    </row>
    <row r="46" spans="1:4" x14ac:dyDescent="0.25">
      <c r="A46">
        <v>1994</v>
      </c>
      <c r="B46">
        <v>8</v>
      </c>
      <c r="C46" s="9">
        <v>8.365384615384615</v>
      </c>
      <c r="D46" s="9">
        <f t="shared" si="0"/>
        <v>-0.36538461538461497</v>
      </c>
    </row>
    <row r="47" spans="1:4" x14ac:dyDescent="0.25">
      <c r="A47">
        <v>1995</v>
      </c>
      <c r="B47">
        <v>5</v>
      </c>
      <c r="C47" s="9">
        <v>10.201923076923077</v>
      </c>
      <c r="D47" s="9">
        <f t="shared" si="0"/>
        <v>-5.2019230769230766</v>
      </c>
    </row>
    <row r="48" spans="1:4" x14ac:dyDescent="0.25">
      <c r="A48">
        <v>1996</v>
      </c>
      <c r="B48">
        <v>4</v>
      </c>
      <c r="C48" s="9">
        <v>8.4375</v>
      </c>
      <c r="D48" s="9">
        <f t="shared" si="0"/>
        <v>-4.4375</v>
      </c>
    </row>
    <row r="49" spans="1:4" x14ac:dyDescent="0.25">
      <c r="A49">
        <v>1997</v>
      </c>
      <c r="B49">
        <v>6</v>
      </c>
      <c r="C49" s="9">
        <v>8.7897727272727266</v>
      </c>
      <c r="D49" s="9">
        <f t="shared" si="0"/>
        <v>-2.7897727272727266</v>
      </c>
    </row>
    <row r="50" spans="1:4" x14ac:dyDescent="0.25">
      <c r="A50">
        <v>1998</v>
      </c>
      <c r="B50">
        <v>8</v>
      </c>
      <c r="C50" s="9">
        <v>10.25</v>
      </c>
      <c r="D50" s="9">
        <f t="shared" si="0"/>
        <v>-2.25</v>
      </c>
    </row>
    <row r="51" spans="1:4" x14ac:dyDescent="0.25">
      <c r="A51">
        <v>1999</v>
      </c>
      <c r="B51">
        <v>7</v>
      </c>
      <c r="C51" s="9">
        <v>9.5208333333333339</v>
      </c>
      <c r="D51" s="9">
        <f t="shared" si="0"/>
        <v>-2.5208333333333339</v>
      </c>
    </row>
    <row r="52" spans="1:4" x14ac:dyDescent="0.25">
      <c r="A52">
        <v>2000</v>
      </c>
      <c r="B52">
        <v>6</v>
      </c>
      <c r="C52" s="9">
        <v>8.4053030303030294</v>
      </c>
      <c r="D52" s="9">
        <f t="shared" si="0"/>
        <v>-2.4053030303030294</v>
      </c>
    </row>
    <row r="53" spans="1:4" x14ac:dyDescent="0.25">
      <c r="A53">
        <v>2001</v>
      </c>
      <c r="B53">
        <v>8</v>
      </c>
      <c r="C53" s="9">
        <v>9.2708333333333339</v>
      </c>
      <c r="D53" s="9">
        <f t="shared" si="0"/>
        <v>-1.2708333333333339</v>
      </c>
    </row>
    <row r="54" spans="1:4" x14ac:dyDescent="0.25">
      <c r="A54">
        <v>2002</v>
      </c>
      <c r="B54">
        <v>8</v>
      </c>
      <c r="C54" s="9">
        <v>10.3125</v>
      </c>
      <c r="D54" s="9">
        <f t="shared" si="0"/>
        <v>-2.3125</v>
      </c>
    </row>
    <row r="55" spans="1:4" x14ac:dyDescent="0.25">
      <c r="A55">
        <v>2003</v>
      </c>
      <c r="B55">
        <v>6</v>
      </c>
      <c r="C55" s="9">
        <v>7.7083333333333339</v>
      </c>
      <c r="D55" s="9">
        <f t="shared" si="0"/>
        <v>-1.7083333333333339</v>
      </c>
    </row>
    <row r="56" spans="1:4" x14ac:dyDescent="0.25">
      <c r="A56">
        <v>2004</v>
      </c>
      <c r="B56">
        <v>7</v>
      </c>
      <c r="C56" s="9">
        <v>7.8958333333333339</v>
      </c>
      <c r="D56" s="9">
        <f t="shared" si="0"/>
        <v>-0.89583333333333393</v>
      </c>
    </row>
    <row r="57" spans="1:4" x14ac:dyDescent="0.25">
      <c r="A57">
        <v>2005</v>
      </c>
      <c r="B57">
        <v>9</v>
      </c>
      <c r="C57" s="9">
        <v>9.5</v>
      </c>
      <c r="D57" s="9">
        <f t="shared" si="0"/>
        <v>-0.5</v>
      </c>
    </row>
    <row r="58" spans="1:4" x14ac:dyDescent="0.25">
      <c r="A58">
        <v>2006</v>
      </c>
      <c r="B58">
        <v>8</v>
      </c>
      <c r="C58" s="9">
        <v>10.75</v>
      </c>
      <c r="D58" s="9">
        <f t="shared" si="0"/>
        <v>-2.75</v>
      </c>
    </row>
    <row r="59" spans="1:4" x14ac:dyDescent="0.25">
      <c r="A59">
        <v>2007</v>
      </c>
      <c r="B59">
        <v>5</v>
      </c>
      <c r="C59" s="9">
        <v>10.125</v>
      </c>
      <c r="D59" s="9">
        <f t="shared" si="0"/>
        <v>-5.125</v>
      </c>
    </row>
    <row r="60" spans="1:4" x14ac:dyDescent="0.25">
      <c r="A60">
        <v>2008</v>
      </c>
      <c r="B60">
        <v>10</v>
      </c>
      <c r="C60" s="9">
        <v>10.096153846153847</v>
      </c>
      <c r="D60" s="9">
        <f t="shared" si="0"/>
        <v>-9.61538461538467E-2</v>
      </c>
    </row>
    <row r="61" spans="1:4" x14ac:dyDescent="0.25">
      <c r="A61">
        <v>2009</v>
      </c>
      <c r="B61">
        <v>9</v>
      </c>
      <c r="C61" s="9">
        <v>7.8461538461538458</v>
      </c>
      <c r="D61" s="9">
        <f t="shared" si="0"/>
        <v>1.1538461538461542</v>
      </c>
    </row>
    <row r="62" spans="1:4" x14ac:dyDescent="0.25">
      <c r="A62">
        <v>2010</v>
      </c>
      <c r="B62">
        <v>10</v>
      </c>
      <c r="C62" s="9">
        <v>10.365384615384617</v>
      </c>
      <c r="D62" s="9">
        <f t="shared" si="0"/>
        <v>-0.36538461538461675</v>
      </c>
    </row>
    <row r="63" spans="1:4" x14ac:dyDescent="0.25">
      <c r="A63">
        <v>2011</v>
      </c>
      <c r="B63">
        <v>7</v>
      </c>
      <c r="C63" s="9">
        <v>9.4230769230769234</v>
      </c>
      <c r="D63" s="9">
        <f t="shared" si="0"/>
        <v>-2.4230769230769234</v>
      </c>
    </row>
    <row r="64" spans="1:4" x14ac:dyDescent="0.25">
      <c r="A64">
        <v>2012</v>
      </c>
      <c r="B64">
        <v>7</v>
      </c>
      <c r="C64" s="9">
        <v>10.75</v>
      </c>
      <c r="D64" s="9">
        <f t="shared" si="0"/>
        <v>-3.75</v>
      </c>
    </row>
    <row r="65" spans="1:4" x14ac:dyDescent="0.25">
      <c r="A65">
        <v>2013</v>
      </c>
      <c r="B65">
        <v>7</v>
      </c>
      <c r="C65" s="9">
        <v>10.21153846153846</v>
      </c>
      <c r="D65" s="9">
        <f t="shared" si="0"/>
        <v>-3.2115384615384599</v>
      </c>
    </row>
    <row r="66" spans="1:4" x14ac:dyDescent="0.25">
      <c r="A66">
        <v>2014</v>
      </c>
      <c r="B66">
        <v>7</v>
      </c>
      <c r="C66" s="9">
        <v>9.0384615384615383</v>
      </c>
      <c r="D66" s="9">
        <f t="shared" si="0"/>
        <v>-2.0384615384615383</v>
      </c>
    </row>
    <row r="67" spans="1:4" x14ac:dyDescent="0.25">
      <c r="A67">
        <v>2015</v>
      </c>
      <c r="B67">
        <v>7</v>
      </c>
      <c r="C67" s="9">
        <v>8.5576923076923084</v>
      </c>
      <c r="D67" s="9">
        <f t="shared" ref="D67:D70" si="1">B67-C67</f>
        <v>-1.5576923076923084</v>
      </c>
    </row>
    <row r="68" spans="1:4" x14ac:dyDescent="0.25">
      <c r="A68">
        <v>2016</v>
      </c>
      <c r="B68">
        <v>6</v>
      </c>
      <c r="C68" s="9">
        <v>9.75</v>
      </c>
      <c r="D68" s="9">
        <f t="shared" si="1"/>
        <v>-3.75</v>
      </c>
    </row>
    <row r="69" spans="1:4" x14ac:dyDescent="0.25">
      <c r="A69">
        <v>2017</v>
      </c>
      <c r="B69">
        <v>10</v>
      </c>
      <c r="C69" s="9">
        <v>11.51923076923077</v>
      </c>
      <c r="D69" s="9">
        <f t="shared" si="1"/>
        <v>-1.5192307692307701</v>
      </c>
    </row>
    <row r="70" spans="1:4" x14ac:dyDescent="0.25">
      <c r="A70">
        <v>2018</v>
      </c>
      <c r="B70">
        <v>3</v>
      </c>
      <c r="C70" s="9">
        <v>8.6730769230769234</v>
      </c>
      <c r="D70" s="9">
        <f t="shared" si="1"/>
        <v>-5.6730769230769234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2F85-9C10-564D-AC35-7E0D4F008C97}">
  <dimension ref="A1:D70"/>
  <sheetViews>
    <sheetView topLeftCell="A28" workbookViewId="0">
      <selection activeCell="D2" sqref="D2:D70"/>
    </sheetView>
  </sheetViews>
  <sheetFormatPr defaultColWidth="11.42578125" defaultRowHeight="15" x14ac:dyDescent="0.25"/>
  <sheetData>
    <row r="1" spans="1:4" x14ac:dyDescent="0.25">
      <c r="A1" s="8" t="s">
        <v>3</v>
      </c>
      <c r="B1" s="8" t="s">
        <v>21</v>
      </c>
      <c r="C1" s="8" t="s">
        <v>55</v>
      </c>
      <c r="D1" s="8" t="s">
        <v>56</v>
      </c>
    </row>
    <row r="2" spans="1:4" x14ac:dyDescent="0.25">
      <c r="A2" s="8">
        <v>1950</v>
      </c>
      <c r="B2">
        <v>20</v>
      </c>
      <c r="C2" s="9">
        <v>10.221590909090908</v>
      </c>
      <c r="D2" s="10">
        <f>B2-C2</f>
        <v>9.7784090909090917</v>
      </c>
    </row>
    <row r="3" spans="1:4" x14ac:dyDescent="0.25">
      <c r="A3" s="8">
        <v>1951</v>
      </c>
      <c r="B3">
        <v>21</v>
      </c>
      <c r="C3" s="9">
        <v>10.128787878787879</v>
      </c>
      <c r="D3" s="10">
        <f t="shared" ref="D3:D66" si="0">B3-C3</f>
        <v>10.871212121212121</v>
      </c>
    </row>
    <row r="4" spans="1:4" x14ac:dyDescent="0.25">
      <c r="A4" s="8">
        <v>1952</v>
      </c>
      <c r="B4">
        <v>22</v>
      </c>
      <c r="C4" s="9">
        <v>10.123106060606061</v>
      </c>
      <c r="D4" s="10">
        <f t="shared" si="0"/>
        <v>11.876893939393939</v>
      </c>
    </row>
    <row r="5" spans="1:4" x14ac:dyDescent="0.25">
      <c r="A5" s="8">
        <v>1953</v>
      </c>
      <c r="B5">
        <v>21</v>
      </c>
      <c r="C5" s="9">
        <v>10.395833333333334</v>
      </c>
      <c r="D5" s="10">
        <f t="shared" si="0"/>
        <v>10.604166666666666</v>
      </c>
    </row>
    <row r="6" spans="1:4" x14ac:dyDescent="0.25">
      <c r="A6" s="8">
        <v>1954</v>
      </c>
      <c r="B6">
        <v>20</v>
      </c>
      <c r="C6" s="9">
        <v>9.375</v>
      </c>
      <c r="D6" s="10">
        <f t="shared" si="0"/>
        <v>10.625</v>
      </c>
    </row>
    <row r="7" spans="1:4" x14ac:dyDescent="0.25">
      <c r="A7" s="8">
        <v>1955</v>
      </c>
      <c r="B7">
        <v>23</v>
      </c>
      <c r="C7" s="9">
        <v>10.145833333333332</v>
      </c>
      <c r="D7" s="10">
        <f t="shared" si="0"/>
        <v>12.854166666666668</v>
      </c>
    </row>
    <row r="8" spans="1:4" x14ac:dyDescent="0.25">
      <c r="A8" s="8">
        <v>1956</v>
      </c>
      <c r="B8">
        <v>18</v>
      </c>
      <c r="C8" s="9">
        <v>8.4439102564102555</v>
      </c>
      <c r="D8" s="10">
        <f t="shared" si="0"/>
        <v>9.5560897435897445</v>
      </c>
    </row>
    <row r="9" spans="1:4" x14ac:dyDescent="0.25">
      <c r="A9" s="8">
        <v>1957</v>
      </c>
      <c r="B9">
        <v>20</v>
      </c>
      <c r="C9" s="9">
        <v>8.3076923076923084</v>
      </c>
      <c r="D9" s="10">
        <f t="shared" si="0"/>
        <v>11.692307692307692</v>
      </c>
    </row>
    <row r="10" spans="1:4" x14ac:dyDescent="0.25">
      <c r="A10" s="8">
        <v>1958</v>
      </c>
      <c r="B10">
        <v>20</v>
      </c>
      <c r="C10" s="9">
        <v>8.9615384615384617</v>
      </c>
      <c r="D10" s="10">
        <f t="shared" si="0"/>
        <v>11.038461538461538</v>
      </c>
    </row>
    <row r="11" spans="1:4" x14ac:dyDescent="0.25">
      <c r="A11" s="8">
        <v>1959</v>
      </c>
      <c r="B11">
        <v>22</v>
      </c>
      <c r="C11" s="9">
        <v>9.2580128205128212</v>
      </c>
      <c r="D11" s="10">
        <f t="shared" si="0"/>
        <v>12.741987179487179</v>
      </c>
    </row>
    <row r="12" spans="1:4" x14ac:dyDescent="0.25">
      <c r="A12" s="8">
        <v>1960</v>
      </c>
      <c r="B12">
        <v>19</v>
      </c>
      <c r="C12" s="9">
        <v>8.9615384615384617</v>
      </c>
      <c r="D12" s="10">
        <f t="shared" si="0"/>
        <v>10.038461538461538</v>
      </c>
    </row>
    <row r="13" spans="1:4" x14ac:dyDescent="0.25">
      <c r="A13" s="8">
        <v>1961</v>
      </c>
      <c r="B13">
        <v>20</v>
      </c>
      <c r="C13" s="9">
        <v>7.8461538461538458</v>
      </c>
      <c r="D13" s="10">
        <f t="shared" si="0"/>
        <v>12.153846153846153</v>
      </c>
    </row>
    <row r="14" spans="1:4" x14ac:dyDescent="0.25">
      <c r="A14" s="8">
        <v>1962</v>
      </c>
      <c r="B14">
        <v>19</v>
      </c>
      <c r="C14" s="9">
        <v>8.1730769230769234</v>
      </c>
      <c r="D14" s="10">
        <f t="shared" si="0"/>
        <v>10.826923076923077</v>
      </c>
    </row>
    <row r="15" spans="1:4" x14ac:dyDescent="0.25">
      <c r="A15" s="8">
        <v>1963</v>
      </c>
      <c r="B15">
        <v>19</v>
      </c>
      <c r="C15" s="9">
        <v>9.4230769230769234</v>
      </c>
      <c r="D15" s="10">
        <f t="shared" si="0"/>
        <v>9.5769230769230766</v>
      </c>
    </row>
    <row r="16" spans="1:4" x14ac:dyDescent="0.25">
      <c r="A16" s="8">
        <v>1964</v>
      </c>
      <c r="B16">
        <v>21</v>
      </c>
      <c r="C16" s="9">
        <v>9.1730769230769234</v>
      </c>
      <c r="D16" s="10">
        <f t="shared" si="0"/>
        <v>11.826923076923077</v>
      </c>
    </row>
    <row r="17" spans="1:4" x14ac:dyDescent="0.25">
      <c r="A17" s="8">
        <v>1965</v>
      </c>
      <c r="B17">
        <v>19</v>
      </c>
      <c r="C17" s="9">
        <v>7.5384615384615383</v>
      </c>
      <c r="D17" s="10">
        <f t="shared" si="0"/>
        <v>11.461538461538462</v>
      </c>
    </row>
    <row r="18" spans="1:4" x14ac:dyDescent="0.25">
      <c r="A18" s="8">
        <v>1966</v>
      </c>
      <c r="B18">
        <v>22</v>
      </c>
      <c r="C18" s="9">
        <v>8.2692307692307701</v>
      </c>
      <c r="D18" s="10">
        <f t="shared" si="0"/>
        <v>13.73076923076923</v>
      </c>
    </row>
    <row r="19" spans="1:4" x14ac:dyDescent="0.25">
      <c r="A19" s="8">
        <v>1967</v>
      </c>
      <c r="B19">
        <v>20</v>
      </c>
      <c r="C19" s="9">
        <v>9.4038461538461533</v>
      </c>
      <c r="D19" s="10">
        <f t="shared" si="0"/>
        <v>10.596153846153847</v>
      </c>
    </row>
    <row r="20" spans="1:4" x14ac:dyDescent="0.25">
      <c r="A20" s="8">
        <v>1968</v>
      </c>
      <c r="B20">
        <v>21</v>
      </c>
      <c r="C20" s="9">
        <v>8.9807692307692299</v>
      </c>
      <c r="D20" s="10">
        <f t="shared" si="0"/>
        <v>12.01923076923077</v>
      </c>
    </row>
    <row r="21" spans="1:4" x14ac:dyDescent="0.25">
      <c r="A21" s="8">
        <v>1969</v>
      </c>
      <c r="B21">
        <v>19</v>
      </c>
      <c r="C21" s="9">
        <v>8.6201923076923066</v>
      </c>
      <c r="D21" s="10">
        <f t="shared" si="0"/>
        <v>10.379807692307693</v>
      </c>
    </row>
    <row r="22" spans="1:4" x14ac:dyDescent="0.25">
      <c r="A22" s="8">
        <v>1970</v>
      </c>
      <c r="B22">
        <v>20</v>
      </c>
      <c r="C22" s="9">
        <v>7.979166666666667</v>
      </c>
      <c r="D22" s="10">
        <f t="shared" si="0"/>
        <v>12.020833333333332</v>
      </c>
    </row>
    <row r="23" spans="1:4" x14ac:dyDescent="0.25">
      <c r="A23" s="8">
        <v>1971</v>
      </c>
      <c r="B23">
        <v>19</v>
      </c>
      <c r="C23" s="9">
        <v>8.125</v>
      </c>
      <c r="D23" s="10">
        <f t="shared" si="0"/>
        <v>10.875</v>
      </c>
    </row>
    <row r="24" spans="1:4" x14ac:dyDescent="0.25">
      <c r="A24" s="8">
        <v>1972</v>
      </c>
      <c r="B24">
        <v>22</v>
      </c>
      <c r="C24" s="9">
        <v>7.875</v>
      </c>
      <c r="D24" s="10">
        <f t="shared" si="0"/>
        <v>14.125</v>
      </c>
    </row>
    <row r="25" spans="1:4" x14ac:dyDescent="0.25">
      <c r="A25" s="8">
        <v>1973</v>
      </c>
      <c r="B25">
        <v>20</v>
      </c>
      <c r="C25" s="9">
        <v>9.4871794871794872</v>
      </c>
      <c r="D25" s="10">
        <f t="shared" si="0"/>
        <v>10.512820512820513</v>
      </c>
    </row>
    <row r="26" spans="1:4" x14ac:dyDescent="0.25">
      <c r="A26" s="8">
        <v>1974</v>
      </c>
      <c r="B26">
        <v>20</v>
      </c>
      <c r="C26" s="9">
        <v>8.9631410256410255</v>
      </c>
      <c r="D26" s="10">
        <f t="shared" si="0"/>
        <v>11.036858974358974</v>
      </c>
    </row>
    <row r="27" spans="1:4" x14ac:dyDescent="0.25">
      <c r="A27" s="8">
        <v>1975</v>
      </c>
      <c r="B27">
        <v>21</v>
      </c>
      <c r="C27" s="9">
        <v>9.4519230769230766</v>
      </c>
      <c r="D27" s="10">
        <f t="shared" si="0"/>
        <v>11.548076923076923</v>
      </c>
    </row>
    <row r="28" spans="1:4" x14ac:dyDescent="0.25">
      <c r="A28" s="8">
        <v>1976</v>
      </c>
      <c r="B28">
        <v>15</v>
      </c>
      <c r="C28" s="9">
        <v>7.8333333333333339</v>
      </c>
      <c r="D28" s="10">
        <f t="shared" si="0"/>
        <v>7.1666666666666661</v>
      </c>
    </row>
    <row r="29" spans="1:4" x14ac:dyDescent="0.25">
      <c r="A29" s="8">
        <v>1977</v>
      </c>
      <c r="B29">
        <v>18</v>
      </c>
      <c r="C29" s="9">
        <v>7.8518356643356633</v>
      </c>
      <c r="D29" s="10">
        <f t="shared" si="0"/>
        <v>10.148164335664337</v>
      </c>
    </row>
    <row r="30" spans="1:4" x14ac:dyDescent="0.25">
      <c r="A30" s="8">
        <v>1978</v>
      </c>
      <c r="B30">
        <v>18</v>
      </c>
      <c r="C30" s="9">
        <v>7.8181818181818175</v>
      </c>
      <c r="D30" s="10">
        <f t="shared" si="0"/>
        <v>10.181818181818183</v>
      </c>
    </row>
    <row r="31" spans="1:4" x14ac:dyDescent="0.25">
      <c r="A31" s="8">
        <v>1979</v>
      </c>
      <c r="B31">
        <v>19</v>
      </c>
      <c r="C31" s="9">
        <v>8.7010489510489499</v>
      </c>
      <c r="D31" s="10">
        <f t="shared" si="0"/>
        <v>10.29895104895105</v>
      </c>
    </row>
    <row r="32" spans="1:4" x14ac:dyDescent="0.25">
      <c r="A32" s="8">
        <v>1980</v>
      </c>
      <c r="B32">
        <v>20</v>
      </c>
      <c r="C32" s="9">
        <v>8.9943181818181817</v>
      </c>
      <c r="D32" s="10">
        <f t="shared" si="0"/>
        <v>11.005681818181818</v>
      </c>
    </row>
    <row r="33" spans="1:4" x14ac:dyDescent="0.25">
      <c r="A33" s="8">
        <v>1981</v>
      </c>
      <c r="B33">
        <v>20</v>
      </c>
      <c r="C33" s="9">
        <v>7.6984265734265733</v>
      </c>
      <c r="D33" s="10">
        <f t="shared" si="0"/>
        <v>12.301573426573427</v>
      </c>
    </row>
    <row r="34" spans="1:4" x14ac:dyDescent="0.25">
      <c r="A34" s="8">
        <v>1982</v>
      </c>
      <c r="B34">
        <v>20</v>
      </c>
      <c r="C34" s="9">
        <v>7.7323717948717956</v>
      </c>
      <c r="D34" s="10">
        <f t="shared" si="0"/>
        <v>12.267628205128204</v>
      </c>
    </row>
    <row r="35" spans="1:4" x14ac:dyDescent="0.25">
      <c r="A35" s="8">
        <v>1983</v>
      </c>
      <c r="B35">
        <v>21</v>
      </c>
      <c r="C35" s="9">
        <v>9.3589743589743595</v>
      </c>
      <c r="D35" s="10">
        <f t="shared" si="0"/>
        <v>11.641025641025641</v>
      </c>
    </row>
    <row r="36" spans="1:4" x14ac:dyDescent="0.25">
      <c r="A36" s="8">
        <v>1984</v>
      </c>
      <c r="B36">
        <v>18</v>
      </c>
      <c r="C36" s="9">
        <v>8.6730769230769234</v>
      </c>
      <c r="D36" s="10">
        <f t="shared" si="0"/>
        <v>9.3269230769230766</v>
      </c>
    </row>
    <row r="37" spans="1:4" x14ac:dyDescent="0.25">
      <c r="A37" s="8">
        <v>1985</v>
      </c>
      <c r="B37">
        <v>18</v>
      </c>
      <c r="C37" s="9">
        <v>8.5769230769230766</v>
      </c>
      <c r="D37" s="10">
        <f t="shared" si="0"/>
        <v>9.4230769230769234</v>
      </c>
    </row>
    <row r="38" spans="1:4" x14ac:dyDescent="0.25">
      <c r="A38" s="8">
        <v>1986</v>
      </c>
      <c r="B38">
        <v>18</v>
      </c>
      <c r="C38" s="9">
        <v>9.0769230769230766</v>
      </c>
      <c r="D38" s="10">
        <f t="shared" si="0"/>
        <v>8.9230769230769234</v>
      </c>
    </row>
    <row r="39" spans="1:4" x14ac:dyDescent="0.25">
      <c r="A39" s="8">
        <v>1987</v>
      </c>
      <c r="B39">
        <v>20</v>
      </c>
      <c r="C39" s="9">
        <v>8.9615384615384617</v>
      </c>
      <c r="D39" s="10">
        <f t="shared" si="0"/>
        <v>11.038461538461538</v>
      </c>
    </row>
    <row r="40" spans="1:4" x14ac:dyDescent="0.25">
      <c r="A40" s="8">
        <v>1988</v>
      </c>
      <c r="B40">
        <v>20</v>
      </c>
      <c r="C40" s="9">
        <v>8.5</v>
      </c>
      <c r="D40" s="10">
        <f t="shared" si="0"/>
        <v>11.5</v>
      </c>
    </row>
    <row r="41" spans="1:4" x14ac:dyDescent="0.25">
      <c r="A41" s="8">
        <v>1989</v>
      </c>
      <c r="B41">
        <v>18</v>
      </c>
      <c r="C41" s="9">
        <v>9.2884615384615383</v>
      </c>
      <c r="D41" s="10">
        <f t="shared" si="0"/>
        <v>8.7115384615384617</v>
      </c>
    </row>
    <row r="42" spans="1:4" x14ac:dyDescent="0.25">
      <c r="A42" s="8">
        <v>1990</v>
      </c>
      <c r="B42">
        <v>18</v>
      </c>
      <c r="C42" s="9">
        <v>10.76923076923077</v>
      </c>
      <c r="D42" s="10">
        <f t="shared" si="0"/>
        <v>7.2307692307692299</v>
      </c>
    </row>
    <row r="43" spans="1:4" x14ac:dyDescent="0.25">
      <c r="A43" s="8">
        <v>1991</v>
      </c>
      <c r="B43">
        <v>20</v>
      </c>
      <c r="C43" s="9">
        <v>9.9230769230769234</v>
      </c>
      <c r="D43" s="10">
        <f t="shared" si="0"/>
        <v>10.076923076923077</v>
      </c>
    </row>
    <row r="44" spans="1:4" x14ac:dyDescent="0.25">
      <c r="A44" s="8">
        <v>1992</v>
      </c>
      <c r="B44">
        <v>16</v>
      </c>
      <c r="C44" s="9">
        <v>7.9038461538461542</v>
      </c>
      <c r="D44" s="10">
        <f t="shared" si="0"/>
        <v>8.0961538461538467</v>
      </c>
    </row>
    <row r="45" spans="1:4" x14ac:dyDescent="0.25">
      <c r="A45" s="8">
        <v>1993</v>
      </c>
      <c r="B45">
        <v>19</v>
      </c>
      <c r="C45" s="9">
        <v>9.0384615384615383</v>
      </c>
      <c r="D45" s="10">
        <f t="shared" si="0"/>
        <v>9.9615384615384617</v>
      </c>
    </row>
    <row r="46" spans="1:4" x14ac:dyDescent="0.25">
      <c r="A46" s="8">
        <v>1994</v>
      </c>
      <c r="B46">
        <v>18</v>
      </c>
      <c r="C46" s="9">
        <v>8.365384615384615</v>
      </c>
      <c r="D46" s="10">
        <f t="shared" si="0"/>
        <v>9.634615384615385</v>
      </c>
    </row>
    <row r="47" spans="1:4" x14ac:dyDescent="0.25">
      <c r="A47" s="8">
        <v>1995</v>
      </c>
      <c r="B47">
        <v>19</v>
      </c>
      <c r="C47" s="9">
        <v>10.201923076923077</v>
      </c>
      <c r="D47" s="10">
        <f t="shared" si="0"/>
        <v>8.7980769230769234</v>
      </c>
    </row>
    <row r="48" spans="1:4" x14ac:dyDescent="0.25">
      <c r="A48" s="8">
        <v>1996</v>
      </c>
      <c r="B48">
        <v>19</v>
      </c>
      <c r="C48" s="9">
        <v>8.4375</v>
      </c>
      <c r="D48" s="10">
        <f t="shared" si="0"/>
        <v>10.5625</v>
      </c>
    </row>
    <row r="49" spans="1:4" x14ac:dyDescent="0.25">
      <c r="A49" s="8">
        <v>1997</v>
      </c>
      <c r="B49">
        <v>20</v>
      </c>
      <c r="C49" s="9">
        <v>8.7897727272727266</v>
      </c>
      <c r="D49" s="10">
        <f t="shared" si="0"/>
        <v>11.210227272727273</v>
      </c>
    </row>
    <row r="50" spans="1:4" x14ac:dyDescent="0.25">
      <c r="A50" s="8">
        <v>1998</v>
      </c>
      <c r="B50">
        <v>20</v>
      </c>
      <c r="C50" s="9">
        <v>10.25</v>
      </c>
      <c r="D50" s="10">
        <f t="shared" si="0"/>
        <v>9.75</v>
      </c>
    </row>
    <row r="51" spans="1:4" x14ac:dyDescent="0.25">
      <c r="A51" s="8">
        <v>1999</v>
      </c>
      <c r="B51">
        <v>22</v>
      </c>
      <c r="C51" s="9">
        <v>9.5208333333333339</v>
      </c>
      <c r="D51" s="10">
        <f t="shared" si="0"/>
        <v>12.479166666666666</v>
      </c>
    </row>
    <row r="52" spans="1:4" x14ac:dyDescent="0.25">
      <c r="A52" s="8">
        <v>2000</v>
      </c>
      <c r="B52">
        <v>18</v>
      </c>
      <c r="C52" s="9">
        <v>8.4053030303030294</v>
      </c>
      <c r="D52" s="10">
        <f t="shared" si="0"/>
        <v>9.5946969696969706</v>
      </c>
    </row>
    <row r="53" spans="1:4" x14ac:dyDescent="0.25">
      <c r="A53" s="8">
        <v>2001</v>
      </c>
      <c r="B53">
        <v>18</v>
      </c>
      <c r="C53" s="9">
        <v>9.2708333333333339</v>
      </c>
      <c r="D53" s="10">
        <f t="shared" si="0"/>
        <v>8.7291666666666661</v>
      </c>
    </row>
    <row r="54" spans="1:4" x14ac:dyDescent="0.25">
      <c r="A54" s="8">
        <v>2002</v>
      </c>
      <c r="B54">
        <v>21</v>
      </c>
      <c r="C54" s="9">
        <v>10.3125</v>
      </c>
      <c r="D54" s="10">
        <f t="shared" si="0"/>
        <v>10.6875</v>
      </c>
    </row>
    <row r="55" spans="1:4" x14ac:dyDescent="0.25">
      <c r="A55" s="8">
        <v>2003</v>
      </c>
      <c r="B55">
        <v>20</v>
      </c>
      <c r="C55" s="9">
        <v>7.7083333333333339</v>
      </c>
      <c r="D55" s="10">
        <f t="shared" si="0"/>
        <v>12.291666666666666</v>
      </c>
    </row>
    <row r="56" spans="1:4" x14ac:dyDescent="0.25">
      <c r="A56" s="8">
        <v>2004</v>
      </c>
      <c r="B56">
        <v>19</v>
      </c>
      <c r="C56" s="9">
        <v>7.8958333333333339</v>
      </c>
      <c r="D56" s="10">
        <f t="shared" si="0"/>
        <v>11.104166666666666</v>
      </c>
    </row>
    <row r="57" spans="1:4" x14ac:dyDescent="0.25">
      <c r="A57" s="8">
        <v>2005</v>
      </c>
      <c r="B57">
        <v>22</v>
      </c>
      <c r="C57" s="9">
        <v>9.5</v>
      </c>
      <c r="D57" s="10">
        <f t="shared" si="0"/>
        <v>12.5</v>
      </c>
    </row>
    <row r="58" spans="1:4" x14ac:dyDescent="0.25">
      <c r="A58" s="8">
        <v>2006</v>
      </c>
      <c r="B58">
        <v>21</v>
      </c>
      <c r="C58" s="9">
        <v>10.75</v>
      </c>
      <c r="D58" s="10">
        <f t="shared" si="0"/>
        <v>10.25</v>
      </c>
    </row>
    <row r="59" spans="1:4" x14ac:dyDescent="0.25">
      <c r="A59" s="8">
        <v>2007</v>
      </c>
      <c r="B59">
        <v>19</v>
      </c>
      <c r="C59" s="9">
        <v>10.125</v>
      </c>
      <c r="D59" s="10">
        <f t="shared" si="0"/>
        <v>8.875</v>
      </c>
    </row>
    <row r="60" spans="1:4" x14ac:dyDescent="0.25">
      <c r="A60" s="8">
        <v>2008</v>
      </c>
      <c r="B60">
        <v>20</v>
      </c>
      <c r="C60" s="9">
        <v>10.096153846153847</v>
      </c>
      <c r="D60" s="10">
        <f t="shared" si="0"/>
        <v>9.9038461538461533</v>
      </c>
    </row>
    <row r="61" spans="1:4" x14ac:dyDescent="0.25">
      <c r="A61" s="8">
        <v>2009</v>
      </c>
      <c r="B61">
        <v>18</v>
      </c>
      <c r="C61" s="9">
        <v>7.8461538461538458</v>
      </c>
      <c r="D61" s="10">
        <f t="shared" si="0"/>
        <v>10.153846153846153</v>
      </c>
    </row>
    <row r="62" spans="1:4" x14ac:dyDescent="0.25">
      <c r="A62" s="8">
        <v>2010</v>
      </c>
      <c r="B62">
        <v>22</v>
      </c>
      <c r="C62" s="9">
        <v>10.365384615384617</v>
      </c>
      <c r="D62" s="10">
        <f t="shared" si="0"/>
        <v>11.634615384615383</v>
      </c>
    </row>
    <row r="63" spans="1:4" x14ac:dyDescent="0.25">
      <c r="A63" s="8">
        <v>2011</v>
      </c>
      <c r="B63">
        <v>23</v>
      </c>
      <c r="C63" s="9">
        <v>9.4230769230769234</v>
      </c>
      <c r="D63" s="10">
        <f t="shared" si="0"/>
        <v>13.576923076923077</v>
      </c>
    </row>
    <row r="64" spans="1:4" x14ac:dyDescent="0.25">
      <c r="A64" s="8">
        <v>2012</v>
      </c>
      <c r="B64">
        <v>22</v>
      </c>
      <c r="C64" s="9">
        <v>10.75</v>
      </c>
      <c r="D64" s="10">
        <f t="shared" si="0"/>
        <v>11.25</v>
      </c>
    </row>
    <row r="65" spans="1:4" x14ac:dyDescent="0.25">
      <c r="A65" s="8">
        <v>2013</v>
      </c>
      <c r="B65">
        <v>21</v>
      </c>
      <c r="C65" s="9">
        <v>10.21153846153846</v>
      </c>
      <c r="D65" s="10">
        <f t="shared" si="0"/>
        <v>10.78846153846154</v>
      </c>
    </row>
    <row r="66" spans="1:4" x14ac:dyDescent="0.25">
      <c r="A66" s="8">
        <v>2014</v>
      </c>
      <c r="B66">
        <v>20</v>
      </c>
      <c r="C66" s="9">
        <v>9.0384615384615383</v>
      </c>
      <c r="D66" s="10">
        <f t="shared" si="0"/>
        <v>10.961538461538462</v>
      </c>
    </row>
    <row r="67" spans="1:4" x14ac:dyDescent="0.25">
      <c r="A67" s="8">
        <v>2015</v>
      </c>
      <c r="B67">
        <v>20</v>
      </c>
      <c r="C67" s="9">
        <v>8.5576923076923084</v>
      </c>
      <c r="D67" s="10">
        <f t="shared" ref="D67:D70" si="1">B67-C67</f>
        <v>11.442307692307692</v>
      </c>
    </row>
    <row r="68" spans="1:4" x14ac:dyDescent="0.25">
      <c r="A68" s="8">
        <v>2016</v>
      </c>
      <c r="B68">
        <v>22</v>
      </c>
      <c r="C68" s="9">
        <v>9.75</v>
      </c>
      <c r="D68" s="10">
        <f t="shared" si="1"/>
        <v>12.25</v>
      </c>
    </row>
    <row r="69" spans="1:4" x14ac:dyDescent="0.25">
      <c r="A69" s="8">
        <v>2017</v>
      </c>
      <c r="B69">
        <v>20</v>
      </c>
      <c r="C69" s="9">
        <v>11.51923076923077</v>
      </c>
      <c r="D69" s="10">
        <f t="shared" si="1"/>
        <v>8.4807692307692299</v>
      </c>
    </row>
    <row r="70" spans="1:4" x14ac:dyDescent="0.25">
      <c r="A70" s="8">
        <v>2018</v>
      </c>
      <c r="B70">
        <v>21</v>
      </c>
      <c r="C70" s="9">
        <v>8.6730769230769234</v>
      </c>
      <c r="D70" s="10">
        <f t="shared" si="1"/>
        <v>12.326923076923077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D47F-D6E8-0A4C-95C3-E3C823E534BE}">
  <dimension ref="A1:D70"/>
  <sheetViews>
    <sheetView topLeftCell="A28" workbookViewId="0">
      <selection activeCell="D2" sqref="D2:D70"/>
    </sheetView>
  </sheetViews>
  <sheetFormatPr defaultColWidth="11.42578125" defaultRowHeight="15" x14ac:dyDescent="0.25"/>
  <sheetData>
    <row r="1" spans="1:4" x14ac:dyDescent="0.25">
      <c r="A1" s="8" t="s">
        <v>3</v>
      </c>
      <c r="B1" s="8" t="s">
        <v>22</v>
      </c>
      <c r="C1" s="8" t="s">
        <v>55</v>
      </c>
      <c r="D1" s="8" t="s">
        <v>56</v>
      </c>
    </row>
    <row r="2" spans="1:4" x14ac:dyDescent="0.25">
      <c r="A2" s="8">
        <v>1950</v>
      </c>
      <c r="B2">
        <v>18</v>
      </c>
      <c r="C2" s="9">
        <v>10.221590909090908</v>
      </c>
      <c r="D2" s="10">
        <f>B2-C2</f>
        <v>7.7784090909090917</v>
      </c>
    </row>
    <row r="3" spans="1:4" x14ac:dyDescent="0.25">
      <c r="A3" s="8">
        <v>1951</v>
      </c>
      <c r="B3">
        <v>10</v>
      </c>
      <c r="C3" s="9">
        <v>10.128787878787879</v>
      </c>
      <c r="D3" s="10">
        <f t="shared" ref="D3:D66" si="0">B3-C3</f>
        <v>-0.1287878787878789</v>
      </c>
    </row>
    <row r="4" spans="1:4" x14ac:dyDescent="0.25">
      <c r="A4" s="8">
        <v>1952</v>
      </c>
      <c r="B4">
        <v>7</v>
      </c>
      <c r="C4" s="9">
        <v>10.123106060606061</v>
      </c>
      <c r="D4" s="10">
        <f t="shared" si="0"/>
        <v>-3.1231060606060606</v>
      </c>
    </row>
    <row r="5" spans="1:4" x14ac:dyDescent="0.25">
      <c r="A5" s="8">
        <v>1953</v>
      </c>
      <c r="B5">
        <v>11</v>
      </c>
      <c r="C5" s="9">
        <v>10.395833333333334</v>
      </c>
      <c r="D5" s="10">
        <f t="shared" si="0"/>
        <v>0.60416666666666607</v>
      </c>
    </row>
    <row r="6" spans="1:4" x14ac:dyDescent="0.25">
      <c r="A6" s="8">
        <v>1954</v>
      </c>
      <c r="B6">
        <v>11</v>
      </c>
      <c r="C6" s="9">
        <v>9.375</v>
      </c>
      <c r="D6" s="10">
        <f t="shared" si="0"/>
        <v>1.625</v>
      </c>
    </row>
    <row r="7" spans="1:4" x14ac:dyDescent="0.25">
      <c r="A7" s="8">
        <v>1955</v>
      </c>
      <c r="B7">
        <v>11</v>
      </c>
      <c r="C7" s="9">
        <v>10.145833333333332</v>
      </c>
      <c r="D7" s="10">
        <f t="shared" si="0"/>
        <v>0.85416666666666785</v>
      </c>
    </row>
    <row r="8" spans="1:4" x14ac:dyDescent="0.25">
      <c r="A8" s="8">
        <v>1956</v>
      </c>
      <c r="B8">
        <v>10</v>
      </c>
      <c r="C8" s="9">
        <v>8.4439102564102555</v>
      </c>
      <c r="D8" s="10">
        <f t="shared" si="0"/>
        <v>1.5560897435897445</v>
      </c>
    </row>
    <row r="9" spans="1:4" x14ac:dyDescent="0.25">
      <c r="A9" s="8">
        <v>1957</v>
      </c>
      <c r="B9">
        <v>8</v>
      </c>
      <c r="C9" s="9">
        <v>8.3076923076923084</v>
      </c>
      <c r="D9" s="10">
        <f t="shared" si="0"/>
        <v>-0.30769230769230838</v>
      </c>
    </row>
    <row r="10" spans="1:4" x14ac:dyDescent="0.25">
      <c r="A10" s="8">
        <v>1958</v>
      </c>
      <c r="B10">
        <v>9</v>
      </c>
      <c r="C10" s="9">
        <v>8.9615384615384617</v>
      </c>
      <c r="D10" s="10">
        <f t="shared" si="0"/>
        <v>3.8461538461538325E-2</v>
      </c>
    </row>
    <row r="11" spans="1:4" x14ac:dyDescent="0.25">
      <c r="A11" s="8">
        <v>1959</v>
      </c>
      <c r="B11">
        <v>10</v>
      </c>
      <c r="C11" s="9">
        <v>9.2580128205128212</v>
      </c>
      <c r="D11" s="10">
        <f t="shared" si="0"/>
        <v>0.74198717948717885</v>
      </c>
    </row>
    <row r="12" spans="1:4" x14ac:dyDescent="0.25">
      <c r="A12" s="8">
        <v>1960</v>
      </c>
      <c r="B12">
        <v>9</v>
      </c>
      <c r="C12" s="9">
        <v>8.9615384615384617</v>
      </c>
      <c r="D12" s="10">
        <f t="shared" si="0"/>
        <v>3.8461538461538325E-2</v>
      </c>
    </row>
    <row r="13" spans="1:4" x14ac:dyDescent="0.25">
      <c r="A13" s="8">
        <v>1961</v>
      </c>
      <c r="B13">
        <v>12</v>
      </c>
      <c r="C13" s="9">
        <v>7.8461538461538458</v>
      </c>
      <c r="D13" s="10">
        <f t="shared" si="0"/>
        <v>4.1538461538461542</v>
      </c>
    </row>
    <row r="14" spans="1:4" x14ac:dyDescent="0.25">
      <c r="A14" s="8">
        <v>1962</v>
      </c>
      <c r="B14">
        <v>10</v>
      </c>
      <c r="C14" s="9">
        <v>8.1730769230769234</v>
      </c>
      <c r="D14" s="10">
        <f t="shared" si="0"/>
        <v>1.8269230769230766</v>
      </c>
    </row>
    <row r="15" spans="1:4" x14ac:dyDescent="0.25">
      <c r="A15" s="8">
        <v>1963</v>
      </c>
      <c r="B15">
        <v>13</v>
      </c>
      <c r="C15" s="9">
        <v>9.4230769230769234</v>
      </c>
      <c r="D15" s="10">
        <f t="shared" si="0"/>
        <v>3.5769230769230766</v>
      </c>
    </row>
    <row r="16" spans="1:4" x14ac:dyDescent="0.25">
      <c r="A16" s="8">
        <v>1964</v>
      </c>
      <c r="B16">
        <v>9</v>
      </c>
      <c r="C16" s="9">
        <v>9.1730769230769234</v>
      </c>
      <c r="D16" s="10">
        <f t="shared" si="0"/>
        <v>-0.17307692307692335</v>
      </c>
    </row>
    <row r="17" spans="1:4" x14ac:dyDescent="0.25">
      <c r="A17" s="8">
        <v>1965</v>
      </c>
      <c r="B17">
        <v>8</v>
      </c>
      <c r="C17" s="9">
        <v>7.5384615384615383</v>
      </c>
      <c r="D17" s="10">
        <f t="shared" si="0"/>
        <v>0.46153846153846168</v>
      </c>
    </row>
    <row r="18" spans="1:4" x14ac:dyDescent="0.25">
      <c r="A18" s="8">
        <v>1966</v>
      </c>
      <c r="B18">
        <v>8</v>
      </c>
      <c r="C18" s="9">
        <v>8.2692307692307701</v>
      </c>
      <c r="D18" s="10">
        <f t="shared" si="0"/>
        <v>-0.26923076923077005</v>
      </c>
    </row>
    <row r="19" spans="1:4" x14ac:dyDescent="0.25">
      <c r="A19" s="8">
        <v>1967</v>
      </c>
      <c r="B19">
        <v>9</v>
      </c>
      <c r="C19" s="9">
        <v>9.4038461538461533</v>
      </c>
      <c r="D19" s="10">
        <f t="shared" si="0"/>
        <v>-0.4038461538461533</v>
      </c>
    </row>
    <row r="20" spans="1:4" x14ac:dyDescent="0.25">
      <c r="A20" s="8">
        <v>1968</v>
      </c>
      <c r="B20">
        <v>10</v>
      </c>
      <c r="C20" s="9">
        <v>8.9807692307692299</v>
      </c>
      <c r="D20" s="10">
        <f t="shared" si="0"/>
        <v>1.0192307692307701</v>
      </c>
    </row>
    <row r="21" spans="1:4" x14ac:dyDescent="0.25">
      <c r="A21" s="8">
        <v>1969</v>
      </c>
      <c r="B21">
        <v>9</v>
      </c>
      <c r="C21" s="9">
        <v>8.6201923076923066</v>
      </c>
      <c r="D21" s="10">
        <f t="shared" si="0"/>
        <v>0.3798076923076934</v>
      </c>
    </row>
    <row r="22" spans="1:4" x14ac:dyDescent="0.25">
      <c r="A22" s="8">
        <v>1970</v>
      </c>
      <c r="B22">
        <v>10</v>
      </c>
      <c r="C22" s="9">
        <v>7.979166666666667</v>
      </c>
      <c r="D22" s="10">
        <f t="shared" si="0"/>
        <v>2.020833333333333</v>
      </c>
    </row>
    <row r="23" spans="1:4" x14ac:dyDescent="0.25">
      <c r="A23" s="8">
        <v>1971</v>
      </c>
      <c r="B23">
        <v>13</v>
      </c>
      <c r="C23" s="9">
        <v>8.125</v>
      </c>
      <c r="D23" s="10">
        <f t="shared" si="0"/>
        <v>4.875</v>
      </c>
    </row>
    <row r="24" spans="1:4" x14ac:dyDescent="0.25">
      <c r="A24" s="8">
        <v>1972</v>
      </c>
      <c r="B24">
        <v>6</v>
      </c>
      <c r="C24" s="9">
        <v>7.875</v>
      </c>
      <c r="D24" s="10">
        <f t="shared" si="0"/>
        <v>-1.875</v>
      </c>
    </row>
    <row r="25" spans="1:4" x14ac:dyDescent="0.25">
      <c r="A25" s="8">
        <v>1973</v>
      </c>
      <c r="B25">
        <v>10</v>
      </c>
      <c r="C25" s="9">
        <v>9.4871794871794872</v>
      </c>
      <c r="D25" s="10">
        <f t="shared" si="0"/>
        <v>0.51282051282051277</v>
      </c>
    </row>
    <row r="26" spans="1:4" x14ac:dyDescent="0.25">
      <c r="A26" s="8">
        <v>1974</v>
      </c>
      <c r="B26">
        <v>7</v>
      </c>
      <c r="C26" s="9">
        <v>8.9631410256410255</v>
      </c>
      <c r="D26" s="10">
        <f t="shared" si="0"/>
        <v>-1.9631410256410255</v>
      </c>
    </row>
    <row r="27" spans="1:4" x14ac:dyDescent="0.25">
      <c r="A27" s="8">
        <v>1975</v>
      </c>
      <c r="B27">
        <v>10</v>
      </c>
      <c r="C27" s="9">
        <v>9.4519230769230766</v>
      </c>
      <c r="D27" s="10">
        <f t="shared" si="0"/>
        <v>0.54807692307692335</v>
      </c>
    </row>
    <row r="28" spans="1:4" x14ac:dyDescent="0.25">
      <c r="A28" s="8">
        <v>1976</v>
      </c>
      <c r="B28">
        <v>5</v>
      </c>
      <c r="C28" s="9">
        <v>7.8333333333333339</v>
      </c>
      <c r="D28" s="10">
        <f t="shared" si="0"/>
        <v>-2.8333333333333339</v>
      </c>
    </row>
    <row r="29" spans="1:4" x14ac:dyDescent="0.25">
      <c r="A29" s="8">
        <v>1977</v>
      </c>
      <c r="B29">
        <v>7</v>
      </c>
      <c r="C29" s="9">
        <v>7.8518356643356633</v>
      </c>
      <c r="D29" s="10">
        <f t="shared" si="0"/>
        <v>-0.85183566433566327</v>
      </c>
    </row>
    <row r="30" spans="1:4" x14ac:dyDescent="0.25">
      <c r="A30" s="8">
        <v>1978</v>
      </c>
      <c r="B30">
        <v>8</v>
      </c>
      <c r="C30" s="9">
        <v>7.8181818181818175</v>
      </c>
      <c r="D30" s="10">
        <f t="shared" si="0"/>
        <v>0.18181818181818254</v>
      </c>
    </row>
    <row r="31" spans="1:4" x14ac:dyDescent="0.25">
      <c r="A31" s="8">
        <v>1979</v>
      </c>
      <c r="B31">
        <v>8</v>
      </c>
      <c r="C31" s="9">
        <v>8.7010489510489499</v>
      </c>
      <c r="D31" s="10">
        <f t="shared" si="0"/>
        <v>-0.70104895104894993</v>
      </c>
    </row>
    <row r="32" spans="1:4" x14ac:dyDescent="0.25">
      <c r="A32" s="8">
        <v>1980</v>
      </c>
      <c r="B32">
        <v>7</v>
      </c>
      <c r="C32" s="9">
        <v>8.9943181818181817</v>
      </c>
      <c r="D32" s="10">
        <f t="shared" si="0"/>
        <v>-1.9943181818181817</v>
      </c>
    </row>
    <row r="33" spans="1:4" x14ac:dyDescent="0.25">
      <c r="A33" s="8">
        <v>1981</v>
      </c>
      <c r="B33">
        <v>7</v>
      </c>
      <c r="C33" s="9">
        <v>7.6984265734265733</v>
      </c>
      <c r="D33" s="10">
        <f t="shared" si="0"/>
        <v>-0.69842657342657333</v>
      </c>
    </row>
    <row r="34" spans="1:4" x14ac:dyDescent="0.25">
      <c r="A34" s="8">
        <v>1982</v>
      </c>
      <c r="B34">
        <v>9</v>
      </c>
      <c r="C34" s="9">
        <v>7.7323717948717956</v>
      </c>
      <c r="D34" s="10">
        <f t="shared" si="0"/>
        <v>1.2676282051282044</v>
      </c>
    </row>
    <row r="35" spans="1:4" x14ac:dyDescent="0.25">
      <c r="A35" s="8">
        <v>1983</v>
      </c>
      <c r="B35">
        <v>9</v>
      </c>
      <c r="C35" s="9">
        <v>9.3589743589743595</v>
      </c>
      <c r="D35" s="10">
        <f t="shared" si="0"/>
        <v>-0.35897435897435948</v>
      </c>
    </row>
    <row r="36" spans="1:4" x14ac:dyDescent="0.25">
      <c r="A36" s="8">
        <v>1984</v>
      </c>
      <c r="B36">
        <v>10</v>
      </c>
      <c r="C36" s="9">
        <v>8.6730769230769234</v>
      </c>
      <c r="D36" s="10">
        <f t="shared" si="0"/>
        <v>1.3269230769230766</v>
      </c>
    </row>
    <row r="37" spans="1:4" x14ac:dyDescent="0.25">
      <c r="A37" s="8">
        <v>1985</v>
      </c>
      <c r="B37">
        <v>9</v>
      </c>
      <c r="C37" s="9">
        <v>8.5769230769230766</v>
      </c>
      <c r="D37" s="10">
        <f t="shared" si="0"/>
        <v>0.42307692307692335</v>
      </c>
    </row>
    <row r="38" spans="1:4" x14ac:dyDescent="0.25">
      <c r="A38" s="8">
        <v>1986</v>
      </c>
      <c r="B38">
        <v>8</v>
      </c>
      <c r="C38" s="9">
        <v>9.0769230769230766</v>
      </c>
      <c r="D38" s="10">
        <f t="shared" si="0"/>
        <v>-1.0769230769230766</v>
      </c>
    </row>
    <row r="39" spans="1:4" x14ac:dyDescent="0.25">
      <c r="A39" s="8">
        <v>1987</v>
      </c>
      <c r="B39">
        <v>7</v>
      </c>
      <c r="C39" s="9">
        <v>8.9615384615384617</v>
      </c>
      <c r="D39" s="10">
        <f t="shared" si="0"/>
        <v>-1.9615384615384617</v>
      </c>
    </row>
    <row r="40" spans="1:4" x14ac:dyDescent="0.25">
      <c r="A40" s="8">
        <v>1988</v>
      </c>
      <c r="B40">
        <v>5</v>
      </c>
      <c r="C40" s="9">
        <v>8.5</v>
      </c>
      <c r="D40" s="10">
        <f t="shared" si="0"/>
        <v>-3.5</v>
      </c>
    </row>
    <row r="41" spans="1:4" x14ac:dyDescent="0.25">
      <c r="A41" s="8">
        <v>1989</v>
      </c>
      <c r="B41">
        <v>9</v>
      </c>
      <c r="C41" s="9">
        <v>9.2884615384615383</v>
      </c>
      <c r="D41" s="10">
        <f t="shared" si="0"/>
        <v>-0.28846153846153832</v>
      </c>
    </row>
    <row r="42" spans="1:4" x14ac:dyDescent="0.25">
      <c r="A42" s="8">
        <v>1990</v>
      </c>
      <c r="B42">
        <v>10</v>
      </c>
      <c r="C42" s="9">
        <v>10.76923076923077</v>
      </c>
      <c r="D42" s="10">
        <f t="shared" si="0"/>
        <v>-0.76923076923077005</v>
      </c>
    </row>
    <row r="43" spans="1:4" x14ac:dyDescent="0.25">
      <c r="A43" s="8">
        <v>1991</v>
      </c>
      <c r="B43">
        <v>10</v>
      </c>
      <c r="C43" s="9">
        <v>9.9230769230769234</v>
      </c>
      <c r="D43" s="10">
        <f t="shared" si="0"/>
        <v>7.692307692307665E-2</v>
      </c>
    </row>
    <row r="44" spans="1:4" x14ac:dyDescent="0.25">
      <c r="A44" s="8">
        <v>1992</v>
      </c>
      <c r="B44">
        <v>6</v>
      </c>
      <c r="C44" s="9">
        <v>7.9038461538461542</v>
      </c>
      <c r="D44" s="10">
        <f t="shared" si="0"/>
        <v>-1.9038461538461542</v>
      </c>
    </row>
    <row r="45" spans="1:4" x14ac:dyDescent="0.25">
      <c r="A45" s="8">
        <v>1993</v>
      </c>
      <c r="B45">
        <v>7</v>
      </c>
      <c r="C45" s="9">
        <v>9.0384615384615383</v>
      </c>
      <c r="D45" s="10">
        <f t="shared" si="0"/>
        <v>-2.0384615384615383</v>
      </c>
    </row>
    <row r="46" spans="1:4" x14ac:dyDescent="0.25">
      <c r="A46" s="8">
        <v>1994</v>
      </c>
      <c r="B46">
        <v>8</v>
      </c>
      <c r="C46" s="9">
        <v>8.365384615384615</v>
      </c>
      <c r="D46" s="10">
        <f t="shared" si="0"/>
        <v>-0.36538461538461497</v>
      </c>
    </row>
    <row r="47" spans="1:4" x14ac:dyDescent="0.25">
      <c r="A47" s="8">
        <v>1995</v>
      </c>
      <c r="B47">
        <v>11</v>
      </c>
      <c r="C47" s="9">
        <v>10.201923076923077</v>
      </c>
      <c r="D47" s="10">
        <f t="shared" si="0"/>
        <v>0.79807692307692335</v>
      </c>
    </row>
    <row r="48" spans="1:4" x14ac:dyDescent="0.25">
      <c r="A48" s="8">
        <v>1996</v>
      </c>
      <c r="B48">
        <v>9</v>
      </c>
      <c r="C48" s="9">
        <v>8.4375</v>
      </c>
      <c r="D48" s="10">
        <f t="shared" si="0"/>
        <v>0.5625</v>
      </c>
    </row>
    <row r="49" spans="1:4" x14ac:dyDescent="0.25">
      <c r="A49" s="8">
        <v>1997</v>
      </c>
      <c r="B49">
        <v>9</v>
      </c>
      <c r="C49" s="9">
        <v>8.7897727272727266</v>
      </c>
      <c r="D49" s="10">
        <f t="shared" si="0"/>
        <v>0.21022727272727337</v>
      </c>
    </row>
    <row r="50" spans="1:4" x14ac:dyDescent="0.25">
      <c r="A50" s="8">
        <v>1998</v>
      </c>
      <c r="B50">
        <v>9</v>
      </c>
      <c r="C50" s="9">
        <v>10.25</v>
      </c>
      <c r="D50" s="10">
        <f t="shared" si="0"/>
        <v>-1.25</v>
      </c>
    </row>
    <row r="51" spans="1:4" x14ac:dyDescent="0.25">
      <c r="A51" s="8">
        <v>1999</v>
      </c>
      <c r="B51">
        <v>8</v>
      </c>
      <c r="C51" s="9">
        <v>9.5208333333333339</v>
      </c>
      <c r="D51" s="10">
        <f t="shared" si="0"/>
        <v>-1.5208333333333339</v>
      </c>
    </row>
    <row r="52" spans="1:4" x14ac:dyDescent="0.25">
      <c r="A52" s="8">
        <v>2000</v>
      </c>
      <c r="B52">
        <v>9</v>
      </c>
      <c r="C52" s="9">
        <v>8.4053030303030294</v>
      </c>
      <c r="D52" s="10">
        <f t="shared" si="0"/>
        <v>0.59469696969697061</v>
      </c>
    </row>
    <row r="53" spans="1:4" x14ac:dyDescent="0.25">
      <c r="A53" s="8">
        <v>2001</v>
      </c>
      <c r="B53">
        <v>10</v>
      </c>
      <c r="C53" s="9">
        <v>9.2708333333333339</v>
      </c>
      <c r="D53" s="10">
        <f t="shared" si="0"/>
        <v>0.72916666666666607</v>
      </c>
    </row>
    <row r="54" spans="1:4" x14ac:dyDescent="0.25">
      <c r="A54" s="8">
        <v>2002</v>
      </c>
      <c r="B54">
        <v>8</v>
      </c>
      <c r="C54" s="9">
        <v>10.3125</v>
      </c>
      <c r="D54" s="10">
        <f t="shared" si="0"/>
        <v>-2.3125</v>
      </c>
    </row>
    <row r="55" spans="1:4" x14ac:dyDescent="0.25">
      <c r="A55" s="8">
        <v>2003</v>
      </c>
      <c r="B55">
        <v>8</v>
      </c>
      <c r="C55" s="9">
        <v>7.7083333333333339</v>
      </c>
      <c r="D55" s="10">
        <f t="shared" si="0"/>
        <v>0.29166666666666607</v>
      </c>
    </row>
    <row r="56" spans="1:4" x14ac:dyDescent="0.25">
      <c r="A56" s="8">
        <v>2004</v>
      </c>
      <c r="B56">
        <v>9</v>
      </c>
      <c r="C56" s="9">
        <v>7.8958333333333339</v>
      </c>
      <c r="D56" s="10">
        <f t="shared" si="0"/>
        <v>1.1041666666666661</v>
      </c>
    </row>
    <row r="57" spans="1:4" x14ac:dyDescent="0.25">
      <c r="A57" s="8">
        <v>2005</v>
      </c>
      <c r="B57">
        <v>10</v>
      </c>
      <c r="C57" s="9">
        <v>9.5</v>
      </c>
      <c r="D57" s="10">
        <f t="shared" si="0"/>
        <v>0.5</v>
      </c>
    </row>
    <row r="58" spans="1:4" x14ac:dyDescent="0.25">
      <c r="A58" s="8">
        <v>2006</v>
      </c>
      <c r="B58">
        <v>9</v>
      </c>
      <c r="C58" s="9">
        <v>10.75</v>
      </c>
      <c r="D58" s="10">
        <f t="shared" si="0"/>
        <v>-1.75</v>
      </c>
    </row>
    <row r="59" spans="1:4" x14ac:dyDescent="0.25">
      <c r="A59" s="8">
        <v>2007</v>
      </c>
      <c r="B59">
        <v>14</v>
      </c>
      <c r="C59" s="9">
        <v>10.125</v>
      </c>
      <c r="D59" s="10">
        <f t="shared" si="0"/>
        <v>3.875</v>
      </c>
    </row>
    <row r="60" spans="1:4" x14ac:dyDescent="0.25">
      <c r="A60" s="8">
        <v>2008</v>
      </c>
      <c r="B60">
        <v>8</v>
      </c>
      <c r="C60" s="9">
        <v>10.096153846153847</v>
      </c>
      <c r="D60" s="10">
        <f t="shared" si="0"/>
        <v>-2.0961538461538467</v>
      </c>
    </row>
    <row r="61" spans="1:4" x14ac:dyDescent="0.25">
      <c r="A61" s="8">
        <v>2009</v>
      </c>
      <c r="B61">
        <v>8</v>
      </c>
      <c r="C61" s="9">
        <v>7.8461538461538458</v>
      </c>
      <c r="D61" s="10">
        <f t="shared" si="0"/>
        <v>0.15384615384615419</v>
      </c>
    </row>
    <row r="62" spans="1:4" x14ac:dyDescent="0.25">
      <c r="A62" s="8">
        <v>2010</v>
      </c>
      <c r="B62">
        <v>9</v>
      </c>
      <c r="C62" s="9">
        <v>10.365384615384617</v>
      </c>
      <c r="D62" s="10">
        <f t="shared" si="0"/>
        <v>-1.3653846153846168</v>
      </c>
    </row>
    <row r="63" spans="1:4" x14ac:dyDescent="0.25">
      <c r="A63" s="8">
        <v>2011</v>
      </c>
      <c r="B63">
        <v>9</v>
      </c>
      <c r="C63" s="9">
        <v>9.4230769230769234</v>
      </c>
      <c r="D63" s="10">
        <f t="shared" si="0"/>
        <v>-0.42307692307692335</v>
      </c>
    </row>
    <row r="64" spans="1:4" x14ac:dyDescent="0.25">
      <c r="A64" s="8">
        <v>2012</v>
      </c>
      <c r="B64">
        <v>10</v>
      </c>
      <c r="C64" s="9">
        <v>10.75</v>
      </c>
      <c r="D64" s="10">
        <f t="shared" si="0"/>
        <v>-0.75</v>
      </c>
    </row>
    <row r="65" spans="1:4" x14ac:dyDescent="0.25">
      <c r="A65" s="8">
        <v>2013</v>
      </c>
      <c r="B65">
        <v>11</v>
      </c>
      <c r="C65" s="9">
        <v>10.21153846153846</v>
      </c>
      <c r="D65" s="10">
        <f t="shared" si="0"/>
        <v>0.7884615384615401</v>
      </c>
    </row>
    <row r="66" spans="1:4" x14ac:dyDescent="0.25">
      <c r="A66" s="8">
        <v>2014</v>
      </c>
      <c r="B66">
        <v>11</v>
      </c>
      <c r="C66" s="9">
        <v>9.0384615384615383</v>
      </c>
      <c r="D66" s="10">
        <f t="shared" si="0"/>
        <v>1.9615384615384617</v>
      </c>
    </row>
    <row r="67" spans="1:4" x14ac:dyDescent="0.25">
      <c r="A67" s="8">
        <v>2015</v>
      </c>
      <c r="B67">
        <v>9</v>
      </c>
      <c r="C67" s="9">
        <v>8.5576923076923084</v>
      </c>
      <c r="D67" s="10">
        <f t="shared" ref="D67:D70" si="1">B67-C67</f>
        <v>0.44230769230769162</v>
      </c>
    </row>
    <row r="68" spans="1:4" x14ac:dyDescent="0.25">
      <c r="A68" s="8">
        <v>2016</v>
      </c>
      <c r="B68">
        <v>9</v>
      </c>
      <c r="C68" s="9">
        <v>9.75</v>
      </c>
      <c r="D68" s="10">
        <f t="shared" si="1"/>
        <v>-0.75</v>
      </c>
    </row>
    <row r="69" spans="1:4" x14ac:dyDescent="0.25">
      <c r="A69" s="8">
        <v>2017</v>
      </c>
      <c r="B69">
        <v>13</v>
      </c>
      <c r="C69" s="9">
        <v>11.51923076923077</v>
      </c>
      <c r="D69" s="10">
        <f t="shared" si="1"/>
        <v>1.4807692307692299</v>
      </c>
    </row>
    <row r="70" spans="1:4" x14ac:dyDescent="0.25">
      <c r="A70" s="8">
        <v>2018</v>
      </c>
      <c r="B70">
        <v>9</v>
      </c>
      <c r="C70" s="9">
        <v>8.6730769230769234</v>
      </c>
      <c r="D70" s="10">
        <f t="shared" si="1"/>
        <v>0.32692307692307665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April</vt:lpstr>
      <vt:lpstr>July</vt:lpstr>
      <vt:lpstr>October</vt:lpstr>
      <vt:lpstr>Notes</vt:lpstr>
      <vt:lpstr>Jan vs. Overall</vt:lpstr>
      <vt:lpstr>April vs. Overall</vt:lpstr>
      <vt:lpstr>July vs. Overall</vt:lpstr>
      <vt:lpstr>Oct vs.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</dc:creator>
  <cp:lastModifiedBy>Priya Kohli</cp:lastModifiedBy>
  <dcterms:created xsi:type="dcterms:W3CDTF">2018-08-16T19:47:44Z</dcterms:created>
  <dcterms:modified xsi:type="dcterms:W3CDTF">2020-11-30T00:10:12Z</dcterms:modified>
</cp:coreProperties>
</file>