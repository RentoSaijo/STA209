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emanueleagle/Desktop/Research/Climate Tables/"/>
    </mc:Choice>
  </mc:AlternateContent>
  <xr:revisionPtr revIDLastSave="0" documentId="8_{842BEA5D-90C5-AC41-AB8A-12141D312BEA}" xr6:coauthVersionLast="36" xr6:coauthVersionMax="36" xr10:uidLastSave="{00000000-0000-0000-0000-000000000000}"/>
  <bookViews>
    <workbookView xWindow="0" yWindow="460" windowWidth="15960" windowHeight="15720" xr2:uid="{00000000-000D-0000-FFFF-FFFF00000000}"/>
  </bookViews>
  <sheets>
    <sheet name="January" sheetId="1" r:id="rId1"/>
    <sheet name="April" sheetId="2" r:id="rId2"/>
    <sheet name="July" sheetId="3" r:id="rId3"/>
    <sheet name="October" sheetId="4" r:id="rId4"/>
    <sheet name="Notes" sheetId="5" r:id="rId5"/>
  </sheets>
  <calcPr calcId="181029"/>
</workbook>
</file>

<file path=xl/calcChain.xml><?xml version="1.0" encoding="utf-8"?>
<calcChain xmlns="http://schemas.openxmlformats.org/spreadsheetml/2006/main">
  <c r="R85" i="4" l="1"/>
  <c r="Q85" i="4"/>
  <c r="P85" i="4"/>
  <c r="H85" i="4"/>
  <c r="G85" i="4"/>
  <c r="F85" i="4"/>
  <c r="R84" i="4"/>
  <c r="Q84" i="4"/>
  <c r="P84" i="4"/>
  <c r="H84" i="4"/>
  <c r="G84" i="4"/>
  <c r="F84" i="4"/>
  <c r="R83" i="4"/>
  <c r="Q83" i="4"/>
  <c r="P83" i="4"/>
  <c r="H83" i="4"/>
  <c r="G83" i="4"/>
  <c r="F83" i="4"/>
  <c r="L69" i="4"/>
  <c r="K69" i="4"/>
  <c r="J69" i="4"/>
  <c r="L59" i="4"/>
  <c r="K59" i="4"/>
  <c r="J59" i="4"/>
  <c r="L49" i="4"/>
  <c r="K49" i="4"/>
  <c r="J49" i="4"/>
  <c r="L39" i="4"/>
  <c r="K39" i="4"/>
  <c r="J39" i="4"/>
  <c r="L29" i="4"/>
  <c r="K29" i="4"/>
  <c r="J29" i="4"/>
  <c r="L19" i="4"/>
  <c r="K19" i="4"/>
  <c r="J19" i="4"/>
  <c r="L9" i="4"/>
  <c r="K9" i="4"/>
  <c r="J9" i="4"/>
  <c r="R85" i="3"/>
  <c r="Q85" i="3"/>
  <c r="P85" i="3"/>
  <c r="H85" i="3"/>
  <c r="G85" i="3"/>
  <c r="F85" i="3"/>
  <c r="R84" i="3"/>
  <c r="Q84" i="3"/>
  <c r="P84" i="3"/>
  <c r="H84" i="3"/>
  <c r="G84" i="3"/>
  <c r="F84" i="3"/>
  <c r="R83" i="3"/>
  <c r="Q83" i="3"/>
  <c r="P83" i="3"/>
  <c r="H83" i="3"/>
  <c r="G83" i="3"/>
  <c r="F83" i="3"/>
  <c r="L69" i="3"/>
  <c r="K69" i="3"/>
  <c r="J69" i="3"/>
  <c r="L59" i="3"/>
  <c r="K59" i="3"/>
  <c r="J59" i="3"/>
  <c r="L49" i="3"/>
  <c r="K49" i="3"/>
  <c r="J49" i="3"/>
  <c r="L39" i="3"/>
  <c r="K39" i="3"/>
  <c r="J39" i="3"/>
  <c r="L29" i="3"/>
  <c r="K29" i="3"/>
  <c r="J29" i="3"/>
  <c r="L19" i="3"/>
  <c r="K19" i="3"/>
  <c r="J19" i="3"/>
  <c r="L9" i="3"/>
  <c r="K9" i="3"/>
  <c r="J9" i="3"/>
  <c r="R85" i="2"/>
  <c r="Q85" i="2"/>
  <c r="P85" i="2"/>
  <c r="H85" i="2"/>
  <c r="G85" i="2"/>
  <c r="F85" i="2"/>
  <c r="R84" i="2"/>
  <c r="Q84" i="2"/>
  <c r="P84" i="2"/>
  <c r="H84" i="2"/>
  <c r="G84" i="2"/>
  <c r="F84" i="2"/>
  <c r="R83" i="2"/>
  <c r="Q83" i="2"/>
  <c r="P83" i="2"/>
  <c r="H83" i="2"/>
  <c r="G83" i="2"/>
  <c r="F83" i="2"/>
  <c r="L69" i="2"/>
  <c r="K69" i="2"/>
  <c r="J69" i="2"/>
  <c r="L59" i="2"/>
  <c r="K59" i="2"/>
  <c r="J59" i="2"/>
  <c r="L49" i="2"/>
  <c r="K49" i="2"/>
  <c r="J49" i="2"/>
  <c r="L39" i="2"/>
  <c r="K39" i="2"/>
  <c r="J39" i="2"/>
  <c r="L29" i="2"/>
  <c r="K29" i="2"/>
  <c r="J29" i="2"/>
  <c r="L19" i="2"/>
  <c r="K19" i="2"/>
  <c r="J19" i="2"/>
  <c r="L9" i="2"/>
  <c r="K9" i="2"/>
  <c r="J9" i="2"/>
  <c r="R85" i="1"/>
  <c r="Q85" i="1"/>
  <c r="P85" i="1"/>
  <c r="H85" i="1"/>
  <c r="G85" i="1"/>
  <c r="F85" i="1"/>
  <c r="R84" i="1"/>
  <c r="Q84" i="1"/>
  <c r="P84" i="1"/>
  <c r="H84" i="1"/>
  <c r="G84" i="1"/>
  <c r="F84" i="1"/>
  <c r="R83" i="1"/>
  <c r="Q83" i="1"/>
  <c r="P83" i="1"/>
  <c r="H83" i="1"/>
  <c r="G83" i="1"/>
  <c r="F83" i="1"/>
  <c r="L69" i="1"/>
  <c r="K69" i="1"/>
  <c r="J69" i="1"/>
  <c r="L59" i="1"/>
  <c r="K59" i="1"/>
  <c r="J59" i="1"/>
  <c r="L49" i="1"/>
  <c r="K49" i="1"/>
  <c r="J49" i="1"/>
  <c r="L39" i="1"/>
  <c r="K39" i="1"/>
  <c r="J39" i="1"/>
  <c r="L29" i="1"/>
  <c r="K29" i="1"/>
  <c r="J29" i="1"/>
  <c r="L19" i="1"/>
  <c r="K19" i="1"/>
  <c r="J19" i="1"/>
  <c r="L9" i="1"/>
  <c r="K9" i="1"/>
  <c r="J9" i="1"/>
</calcChain>
</file>

<file path=xl/sharedStrings.xml><?xml version="1.0" encoding="utf-8"?>
<sst xmlns="http://schemas.openxmlformats.org/spreadsheetml/2006/main" count="176" uniqueCount="36">
  <si>
    <t>Site:</t>
  </si>
  <si>
    <t>Worcester Regional Airport, MA</t>
  </si>
  <si>
    <t>Month:</t>
  </si>
  <si>
    <t>January</t>
  </si>
  <si>
    <t>DO NOT WRITE IN THESE COLUMNS</t>
  </si>
  <si>
    <t>Web address:</t>
  </si>
  <si>
    <r>
      <rPr>
        <u/>
        <sz val="11"/>
        <color indexed="11"/>
        <rFont val="Calibri"/>
      </rPr>
      <t>https://www.wunderground.com/weather/KORH</t>
    </r>
  </si>
  <si>
    <t>Time Period</t>
  </si>
  <si>
    <t>Temperature</t>
  </si>
  <si>
    <t>Precipitation</t>
  </si>
  <si>
    <t>Decadal</t>
  </si>
  <si>
    <t>Mean</t>
  </si>
  <si>
    <t>No. days daily mean is below</t>
  </si>
  <si>
    <t>Monthly</t>
  </si>
  <si>
    <t>No. days</t>
  </si>
  <si>
    <t>No. events</t>
  </si>
  <si>
    <t>Decade</t>
  </si>
  <si>
    <t>Year</t>
  </si>
  <si>
    <t>Max</t>
  </si>
  <si>
    <t>Avg</t>
  </si>
  <si>
    <t>Min</t>
  </si>
  <si>
    <t>&lt; or = O ºC</t>
  </si>
  <si>
    <t>Total (mm)</t>
  </si>
  <si>
    <t>of precipitation</t>
  </si>
  <si>
    <t>&gt; or = 75 mm</t>
  </si>
  <si>
    <t>Totals</t>
  </si>
  <si>
    <t>No. Years</t>
  </si>
  <si>
    <t>Stan Dev</t>
  </si>
  <si>
    <t>April</t>
  </si>
  <si>
    <t>&gt; or = 20 ºC</t>
  </si>
  <si>
    <t>Total (cm)</t>
  </si>
  <si>
    <t>&gt; or = 7.5 cm</t>
  </si>
  <si>
    <t>July</t>
  </si>
  <si>
    <t>&gt; or = 32 ºC</t>
  </si>
  <si>
    <t>October</t>
  </si>
  <si>
    <t>&gt; or = 27 ºC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</si>
</sst>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u/>
      <sz val="11"/>
      <color indexed="11"/>
      <name val="Calibri"/>
    </font>
    <font>
      <b/>
      <u/>
      <sz val="11"/>
      <color indexed="8"/>
      <name val="Calibri"/>
    </font>
    <font>
      <b/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</fills>
  <borders count="2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8"/>
      </right>
      <top/>
      <bottom style="thin">
        <color indexed="10"/>
      </bottom>
      <diagonal/>
    </border>
    <border>
      <left style="thin">
        <color indexed="8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8"/>
      </bottom>
      <diagonal/>
    </border>
    <border>
      <left style="thin">
        <color indexed="12"/>
      </left>
      <right style="thin">
        <color indexed="8"/>
      </right>
      <top style="thin">
        <color indexed="12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56">
    <xf numFmtId="0" fontId="0" fillId="0" borderId="0" xfId="0" applyFont="1" applyAlignment="1"/>
    <xf numFmtId="0" fontId="0" fillId="0" borderId="0" xfId="0" applyNumberFormat="1" applyFont="1" applyAlignment="1"/>
    <xf numFmtId="49" fontId="0" fillId="2" borderId="1" xfId="0" applyNumberFormat="1" applyFont="1" applyFill="1" applyBorder="1" applyAlignment="1"/>
    <xf numFmtId="0" fontId="0" fillId="2" borderId="1" xfId="0" applyFont="1" applyFill="1" applyBorder="1" applyAlignment="1"/>
    <xf numFmtId="49" fontId="2" fillId="2" borderId="1" xfId="0" applyNumberFormat="1" applyFont="1" applyFill="1" applyBorder="1" applyAlignment="1"/>
    <xf numFmtId="49" fontId="0" fillId="2" borderId="1" xfId="0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2" xfId="0" applyFont="1" applyFill="1" applyBorder="1" applyAlignment="1"/>
    <xf numFmtId="49" fontId="0" fillId="2" borderId="2" xfId="0" applyNumberFormat="1" applyFont="1" applyFill="1" applyBorder="1" applyAlignment="1"/>
    <xf numFmtId="49" fontId="0" fillId="2" borderId="2" xfId="0" applyNumberFormat="1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2" borderId="3" xfId="0" applyFont="1" applyFill="1" applyBorder="1" applyAlignment="1"/>
    <xf numFmtId="0" fontId="0" fillId="2" borderId="4" xfId="0" applyFont="1" applyFill="1" applyBorder="1" applyAlignment="1"/>
    <xf numFmtId="0" fontId="0" fillId="2" borderId="5" xfId="0" applyFont="1" applyFill="1" applyBorder="1" applyAlignment="1"/>
    <xf numFmtId="0" fontId="0" fillId="2" borderId="6" xfId="0" applyFont="1" applyFill="1" applyBorder="1" applyAlignment="1"/>
    <xf numFmtId="0" fontId="0" fillId="2" borderId="7" xfId="0" applyFont="1" applyFill="1" applyBorder="1" applyAlignment="1"/>
    <xf numFmtId="0" fontId="0" fillId="2" borderId="7" xfId="0" applyNumberFormat="1" applyFont="1" applyFill="1" applyBorder="1" applyAlignment="1"/>
    <xf numFmtId="0" fontId="0" fillId="2" borderId="8" xfId="0" applyFont="1" applyFill="1" applyBorder="1" applyAlignment="1"/>
    <xf numFmtId="0" fontId="0" fillId="2" borderId="9" xfId="0" applyNumberFormat="1" applyFont="1" applyFill="1" applyBorder="1" applyAlignment="1">
      <alignment readingOrder="1"/>
    </xf>
    <xf numFmtId="0" fontId="0" fillId="2" borderId="10" xfId="0" applyNumberFormat="1" applyFont="1" applyFill="1" applyBorder="1" applyAlignment="1">
      <alignment readingOrder="1"/>
    </xf>
    <xf numFmtId="0" fontId="0" fillId="2" borderId="11" xfId="0" applyNumberFormat="1" applyFont="1" applyFill="1" applyBorder="1" applyAlignment="1">
      <alignment readingOrder="1"/>
    </xf>
    <xf numFmtId="0" fontId="0" fillId="2" borderId="12" xfId="0" applyNumberFormat="1" applyFont="1" applyFill="1" applyBorder="1" applyAlignment="1"/>
    <xf numFmtId="0" fontId="0" fillId="2" borderId="1" xfId="0" applyNumberFormat="1" applyFont="1" applyFill="1" applyBorder="1" applyAlignment="1"/>
    <xf numFmtId="0" fontId="0" fillId="2" borderId="13" xfId="0" applyFont="1" applyFill="1" applyBorder="1" applyAlignment="1"/>
    <xf numFmtId="0" fontId="0" fillId="2" borderId="14" xfId="0" applyNumberFormat="1" applyFont="1" applyFill="1" applyBorder="1" applyAlignment="1">
      <alignment readingOrder="1"/>
    </xf>
    <xf numFmtId="0" fontId="0" fillId="2" borderId="15" xfId="0" applyNumberFormat="1" applyFont="1" applyFill="1" applyBorder="1" applyAlignment="1">
      <alignment readingOrder="1"/>
    </xf>
    <xf numFmtId="0" fontId="0" fillId="2" borderId="16" xfId="0" applyNumberFormat="1" applyFont="1" applyFill="1" applyBorder="1" applyAlignment="1">
      <alignment readingOrder="1"/>
    </xf>
    <xf numFmtId="0" fontId="0" fillId="2" borderId="17" xfId="0" applyNumberFormat="1" applyFont="1" applyFill="1" applyBorder="1" applyAlignment="1"/>
    <xf numFmtId="49" fontId="0" fillId="2" borderId="14" xfId="0" applyNumberFormat="1" applyFont="1" applyFill="1" applyBorder="1" applyAlignment="1"/>
    <xf numFmtId="49" fontId="0" fillId="2" borderId="15" xfId="0" applyNumberFormat="1" applyFont="1" applyFill="1" applyBorder="1" applyAlignment="1"/>
    <xf numFmtId="49" fontId="0" fillId="2" borderId="16" xfId="0" applyNumberFormat="1" applyFont="1" applyFill="1" applyBorder="1" applyAlignment="1"/>
    <xf numFmtId="0" fontId="0" fillId="2" borderId="17" xfId="0" applyFont="1" applyFill="1" applyBorder="1" applyAlignment="1"/>
    <xf numFmtId="0" fontId="0" fillId="2" borderId="18" xfId="0" applyNumberFormat="1" applyFont="1" applyFill="1" applyBorder="1" applyAlignment="1"/>
    <xf numFmtId="0" fontId="0" fillId="2" borderId="19" xfId="0" applyNumberFormat="1" applyFont="1" applyFill="1" applyBorder="1" applyAlignment="1">
      <alignment readingOrder="1"/>
    </xf>
    <xf numFmtId="0" fontId="0" fillId="2" borderId="20" xfId="0" applyNumberFormat="1" applyFont="1" applyFill="1" applyBorder="1" applyAlignment="1">
      <alignment readingOrder="1"/>
    </xf>
    <xf numFmtId="0" fontId="0" fillId="2" borderId="21" xfId="0" applyNumberFormat="1" applyFont="1" applyFill="1" applyBorder="1" applyAlignment="1">
      <alignment readingOrder="1"/>
    </xf>
    <xf numFmtId="0" fontId="0" fillId="2" borderId="22" xfId="0" applyFont="1" applyFill="1" applyBorder="1" applyAlignment="1"/>
    <xf numFmtId="49" fontId="3" fillId="2" borderId="1" xfId="0" applyNumberFormat="1" applyFont="1" applyFill="1" applyBorder="1" applyAlignment="1"/>
    <xf numFmtId="2" fontId="0" fillId="2" borderId="1" xfId="0" applyNumberFormat="1" applyFont="1" applyFill="1" applyBorder="1" applyAlignment="1"/>
    <xf numFmtId="0" fontId="0" fillId="0" borderId="0" xfId="0" applyNumberFormat="1" applyFont="1" applyAlignment="1"/>
    <xf numFmtId="0" fontId="0" fillId="3" borderId="3" xfId="0" applyFont="1" applyFill="1" applyBorder="1" applyAlignment="1"/>
    <xf numFmtId="0" fontId="0" fillId="3" borderId="4" xfId="0" applyFont="1" applyFill="1" applyBorder="1" applyAlignment="1"/>
    <xf numFmtId="0" fontId="0" fillId="3" borderId="6" xfId="0" applyFont="1" applyFill="1" applyBorder="1" applyAlignment="1"/>
    <xf numFmtId="0" fontId="0" fillId="0" borderId="0" xfId="0" applyNumberFormat="1" applyFont="1" applyAlignment="1"/>
    <xf numFmtId="0" fontId="0" fillId="3" borderId="5" xfId="0" applyFont="1" applyFill="1" applyBorder="1" applyAlignment="1"/>
    <xf numFmtId="0" fontId="0" fillId="0" borderId="0" xfId="0" applyNumberFormat="1" applyFont="1" applyAlignment="1"/>
    <xf numFmtId="0" fontId="0" fillId="0" borderId="0" xfId="0" applyNumberFormat="1" applyFont="1" applyAlignment="1"/>
    <xf numFmtId="0" fontId="0" fillId="0" borderId="23" xfId="0" applyFont="1" applyBorder="1" applyAlignment="1"/>
    <xf numFmtId="0" fontId="0" fillId="0" borderId="24" xfId="0" applyFont="1" applyBorder="1" applyAlignment="1"/>
    <xf numFmtId="0" fontId="0" fillId="0" borderId="25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6" xfId="0" applyFont="1" applyBorder="1" applyAlignment="1"/>
    <xf numFmtId="0" fontId="0" fillId="0" borderId="26" xfId="0" applyFont="1" applyBorder="1" applyAlignment="1"/>
    <xf numFmtId="0" fontId="0" fillId="0" borderId="27" xfId="0" applyFont="1" applyBorder="1" applyAlignment="1"/>
    <xf numFmtId="0" fontId="0" fillId="0" borderId="28" xfId="0" applyFont="1" applyBorder="1" applyAlignme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0000FF"/>
      <rgbColor rgb="FFCCCCCC"/>
      <rgbColor rgb="FF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323850</xdr:colOff>
      <xdr:row>2</xdr:row>
      <xdr:rowOff>85725</xdr:rowOff>
    </xdr:from>
    <xdr:to>
      <xdr:col>9</xdr:col>
      <xdr:colOff>323850</xdr:colOff>
      <xdr:row>3</xdr:row>
      <xdr:rowOff>142875</xdr:rowOff>
    </xdr:to>
    <xdr:sp macro="" textlink="">
      <xdr:nvSpPr>
        <xdr:cNvPr id="2" name="Straight Arrow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8350250" y="466725"/>
          <a:ext cx="0" cy="247650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10</xdr:col>
      <xdr:colOff>295275</xdr:colOff>
      <xdr:row>2</xdr:row>
      <xdr:rowOff>95250</xdr:rowOff>
    </xdr:from>
    <xdr:to>
      <xdr:col>10</xdr:col>
      <xdr:colOff>295275</xdr:colOff>
      <xdr:row>3</xdr:row>
      <xdr:rowOff>152400</xdr:rowOff>
    </xdr:to>
    <xdr:sp macro="" textlink="">
      <xdr:nvSpPr>
        <xdr:cNvPr id="3" name="Straight Arrow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9134475" y="476250"/>
          <a:ext cx="0" cy="247650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11</xdr:col>
      <xdr:colOff>295275</xdr:colOff>
      <xdr:row>2</xdr:row>
      <xdr:rowOff>95250</xdr:rowOff>
    </xdr:from>
    <xdr:to>
      <xdr:col>11</xdr:col>
      <xdr:colOff>295275</xdr:colOff>
      <xdr:row>3</xdr:row>
      <xdr:rowOff>152400</xdr:rowOff>
    </xdr:to>
    <xdr:sp macro="" textlink="">
      <xdr:nvSpPr>
        <xdr:cNvPr id="4" name="Straight Arrow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9807575" y="476250"/>
          <a:ext cx="0" cy="247650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323850</xdr:colOff>
      <xdr:row>2</xdr:row>
      <xdr:rowOff>85725</xdr:rowOff>
    </xdr:from>
    <xdr:to>
      <xdr:col>9</xdr:col>
      <xdr:colOff>323850</xdr:colOff>
      <xdr:row>3</xdr:row>
      <xdr:rowOff>142875</xdr:rowOff>
    </xdr:to>
    <xdr:sp macro="" textlink="">
      <xdr:nvSpPr>
        <xdr:cNvPr id="6" name="Straight Arrow Connector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8375650" y="466725"/>
          <a:ext cx="0" cy="247650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10</xdr:col>
      <xdr:colOff>295275</xdr:colOff>
      <xdr:row>2</xdr:row>
      <xdr:rowOff>95250</xdr:rowOff>
    </xdr:from>
    <xdr:to>
      <xdr:col>10</xdr:col>
      <xdr:colOff>295275</xdr:colOff>
      <xdr:row>3</xdr:row>
      <xdr:rowOff>152400</xdr:rowOff>
    </xdr:to>
    <xdr:sp macro="" textlink="">
      <xdr:nvSpPr>
        <xdr:cNvPr id="7" name="Straight Arrow Connector 2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9020175" y="476250"/>
          <a:ext cx="0" cy="247650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11</xdr:col>
      <xdr:colOff>295275</xdr:colOff>
      <xdr:row>2</xdr:row>
      <xdr:rowOff>95250</xdr:rowOff>
    </xdr:from>
    <xdr:to>
      <xdr:col>11</xdr:col>
      <xdr:colOff>295275</xdr:colOff>
      <xdr:row>3</xdr:row>
      <xdr:rowOff>152400</xdr:rowOff>
    </xdr:to>
    <xdr:sp macro="" textlink="">
      <xdr:nvSpPr>
        <xdr:cNvPr id="8" name="Straight Arrow Connector 3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9693275" y="476250"/>
          <a:ext cx="0" cy="247650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323850</xdr:colOff>
      <xdr:row>2</xdr:row>
      <xdr:rowOff>85725</xdr:rowOff>
    </xdr:from>
    <xdr:to>
      <xdr:col>9</xdr:col>
      <xdr:colOff>323850</xdr:colOff>
      <xdr:row>3</xdr:row>
      <xdr:rowOff>142875</xdr:rowOff>
    </xdr:to>
    <xdr:sp macro="" textlink="">
      <xdr:nvSpPr>
        <xdr:cNvPr id="10" name="Straight Arrow Connector 6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8451850" y="466725"/>
          <a:ext cx="0" cy="247650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10</xdr:col>
      <xdr:colOff>295275</xdr:colOff>
      <xdr:row>2</xdr:row>
      <xdr:rowOff>95250</xdr:rowOff>
    </xdr:from>
    <xdr:to>
      <xdr:col>10</xdr:col>
      <xdr:colOff>295275</xdr:colOff>
      <xdr:row>3</xdr:row>
      <xdr:rowOff>152400</xdr:rowOff>
    </xdr:to>
    <xdr:sp macro="" textlink="">
      <xdr:nvSpPr>
        <xdr:cNvPr id="11" name="Straight Arrow Connector 8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9096375" y="476250"/>
          <a:ext cx="0" cy="247650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11</xdr:col>
      <xdr:colOff>295275</xdr:colOff>
      <xdr:row>2</xdr:row>
      <xdr:rowOff>95250</xdr:rowOff>
    </xdr:from>
    <xdr:to>
      <xdr:col>11</xdr:col>
      <xdr:colOff>295275</xdr:colOff>
      <xdr:row>3</xdr:row>
      <xdr:rowOff>152400</xdr:rowOff>
    </xdr:to>
    <xdr:sp macro="" textlink="">
      <xdr:nvSpPr>
        <xdr:cNvPr id="12" name="Straight Arrow Connector 9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9769475" y="476250"/>
          <a:ext cx="0" cy="247650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323850</xdr:colOff>
      <xdr:row>2</xdr:row>
      <xdr:rowOff>85725</xdr:rowOff>
    </xdr:from>
    <xdr:to>
      <xdr:col>9</xdr:col>
      <xdr:colOff>323850</xdr:colOff>
      <xdr:row>3</xdr:row>
      <xdr:rowOff>142875</xdr:rowOff>
    </xdr:to>
    <xdr:sp macro="" textlink="">
      <xdr:nvSpPr>
        <xdr:cNvPr id="14" name="Straight Arrow Connector 1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8172450" y="466725"/>
          <a:ext cx="0" cy="247650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10</xdr:col>
      <xdr:colOff>295275</xdr:colOff>
      <xdr:row>2</xdr:row>
      <xdr:rowOff>95250</xdr:rowOff>
    </xdr:from>
    <xdr:to>
      <xdr:col>10</xdr:col>
      <xdr:colOff>295275</xdr:colOff>
      <xdr:row>3</xdr:row>
      <xdr:rowOff>152400</xdr:rowOff>
    </xdr:to>
    <xdr:sp macro="" textlink="">
      <xdr:nvSpPr>
        <xdr:cNvPr id="15" name="Straight Arrow Connector 2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8816975" y="476250"/>
          <a:ext cx="0" cy="247650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11</xdr:col>
      <xdr:colOff>295275</xdr:colOff>
      <xdr:row>2</xdr:row>
      <xdr:rowOff>95250</xdr:rowOff>
    </xdr:from>
    <xdr:to>
      <xdr:col>11</xdr:col>
      <xdr:colOff>295275</xdr:colOff>
      <xdr:row>3</xdr:row>
      <xdr:rowOff>152400</xdr:rowOff>
    </xdr:to>
    <xdr:sp macro="" textlink="">
      <xdr:nvSpPr>
        <xdr:cNvPr id="16" name="Straight Arrow Connector 3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9490075" y="476250"/>
          <a:ext cx="0" cy="247650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552449</xdr:colOff>
      <xdr:row>0</xdr:row>
      <xdr:rowOff>0</xdr:rowOff>
    </xdr:from>
    <xdr:to>
      <xdr:col>7</xdr:col>
      <xdr:colOff>695324</xdr:colOff>
      <xdr:row>40</xdr:row>
      <xdr:rowOff>6065</xdr:rowOff>
    </xdr:to>
    <xdr:sp macro="" textlink="">
      <xdr:nvSpPr>
        <xdr:cNvPr id="18" name="TextBox 1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 txBox="1"/>
      </xdr:nvSpPr>
      <xdr:spPr>
        <a:xfrm>
          <a:off x="552448" y="-90980"/>
          <a:ext cx="5476876" cy="658466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8" tIns="45718" rIns="45718" bIns="45718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rPr>
            <a:t>in janary 1980, there is a day that has a recorded precipitation total of 381, look into this</a:t>
          </a:r>
        </a:p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endParaRPr sz="1100" b="0" i="0" u="none" strike="noStrike" cap="none" spc="0" baseline="0">
            <a:ln>
              <a:noFill/>
            </a:ln>
            <a:solidFill>
              <a:srgbClr val="000000"/>
            </a:solidFill>
            <a:uFillTx/>
            <a:latin typeface="Calibri"/>
            <a:ea typeface="Calibri"/>
            <a:cs typeface="Calibri"/>
            <a:sym typeface="Calibri"/>
          </a:endParaRPr>
        </a:p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rPr>
            <a:t>in january 1987 there is a day that is recorded as 635, but it does not seem to effect the total of the month</a:t>
          </a:r>
        </a:p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endParaRPr sz="1100" b="0" i="0" u="none" strike="noStrike" cap="none" spc="0" baseline="0">
            <a:ln>
              <a:noFill/>
            </a:ln>
            <a:solidFill>
              <a:srgbClr val="000000"/>
            </a:solidFill>
            <a:uFillTx/>
            <a:latin typeface="Calibri"/>
            <a:ea typeface="Calibri"/>
            <a:cs typeface="Calibri"/>
            <a:sym typeface="Calibri"/>
          </a:endParaRPr>
        </a:p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rPr>
            <a:t>in january 1990 the monthly precipitation sum is 1,422.4, with a daily max of 431.8. HOwever there is a recorded daily max of 865.</a:t>
          </a:r>
        </a:p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endParaRPr sz="1100" b="0" i="0" u="none" strike="noStrike" cap="none" spc="0" baseline="0">
            <a:ln>
              <a:noFill/>
            </a:ln>
            <a:solidFill>
              <a:srgbClr val="000000"/>
            </a:solidFill>
            <a:uFillTx/>
            <a:latin typeface="Calibri"/>
            <a:ea typeface="Calibri"/>
            <a:cs typeface="Calibri"/>
            <a:sym typeface="Calibri"/>
          </a:endParaRPr>
        </a:p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rPr>
            <a:t>in january 1991 there is a recorded day of 1100 for precipitation, doesnt effect total</a:t>
          </a:r>
        </a:p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endParaRPr sz="1100" b="0" i="0" u="none" strike="noStrike" cap="none" spc="0" baseline="0">
            <a:ln>
              <a:noFill/>
            </a:ln>
            <a:solidFill>
              <a:srgbClr val="000000"/>
            </a:solidFill>
            <a:uFillTx/>
            <a:latin typeface="Calibri"/>
            <a:ea typeface="Calibri"/>
            <a:cs typeface="Calibri"/>
            <a:sym typeface="Calibri"/>
          </a:endParaRPr>
        </a:p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rPr>
            <a:t>th greater than or equal to 32 for july appears to be too high, no days are above or equal to that parameter</a:t>
          </a:r>
        </a:p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endParaRPr sz="1100" b="0" i="0" u="none" strike="noStrike" cap="none" spc="0" baseline="0">
            <a:ln>
              <a:noFill/>
            </a:ln>
            <a:solidFill>
              <a:srgbClr val="000000"/>
            </a:solidFill>
            <a:uFillTx/>
            <a:latin typeface="Calibri"/>
            <a:ea typeface="Calibri"/>
            <a:cs typeface="Calibri"/>
            <a:sym typeface="Calibri"/>
          </a:endParaRPr>
        </a:p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rPr>
            <a:t>july 1974, 1975, day that has a 127 and 254 respectively  precip. total, look into this</a:t>
          </a:r>
        </a:p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rPr>
            <a:t>july  1990, day that has a total of 358 precip.</a:t>
          </a:r>
        </a:p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endParaRPr sz="1100" b="0" i="0" u="none" strike="noStrike" cap="none" spc="0" baseline="0">
            <a:ln>
              <a:noFill/>
            </a:ln>
            <a:solidFill>
              <a:srgbClr val="000000"/>
            </a:solidFill>
            <a:uFillTx/>
            <a:latin typeface="Calibri"/>
            <a:ea typeface="Calibri"/>
            <a:cs typeface="Calibri"/>
            <a:sym typeface="Calibri"/>
          </a:endParaRPr>
        </a:p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rPr>
            <a:t>april 1984, one day is marked as 609 of precip. check this (did not effect monthly total)</a:t>
          </a:r>
        </a:p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rPr>
            <a:t>april 1990, one day is marked as 685.8 of precip. check this (did not effect monthly total)</a:t>
          </a:r>
        </a:p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endParaRPr sz="1100" b="0" i="0" u="none" strike="noStrike" cap="none" spc="0" baseline="0">
            <a:ln>
              <a:noFill/>
            </a:ln>
            <a:solidFill>
              <a:srgbClr val="000000"/>
            </a:solidFill>
            <a:uFillTx/>
            <a:latin typeface="Calibri"/>
            <a:ea typeface="Calibri"/>
            <a:cs typeface="Calibri"/>
            <a:sym typeface="Calibri"/>
          </a:endParaRPr>
        </a:p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rPr>
            <a:t>october 1988, one day is marked as 589 of precip. check this (did not effect monthly total) </a:t>
          </a:r>
        </a:p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rPr>
            <a:t>october 1991, one day is marked as 914.4 of precip. check </a:t>
          </a: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this (did not effect monthly </a:t>
          </a:r>
        </a:p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total)</a:t>
          </a:r>
        </a:p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sz="1100" b="0" i="0" u="none" strike="noStrike" cap="none" spc="0" baseline="0">
            <a:ln>
              <a:noFill/>
            </a:ln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october 1999, 2003, and 2012 data did not load after about 10 attempts per year, will have to try again later</a:t>
          </a:r>
        </a:p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sz="1100" b="0" i="0" u="none" strike="noStrike" cap="none" spc="0" baseline="0">
            <a:ln>
              <a:noFill/>
            </a:ln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rPr>
            <a:t>wonder if it would be worth it to record what the most precip. in a day was recorded for each month, test the idea that storms are getting stronger (maybe for those days also record avg wind speed?)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wunderground.com/weather/KORH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wunderground.com/weather/KORH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www.wunderground.com/weather/KORH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www.wunderground.com/weather/KORH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85"/>
  <sheetViews>
    <sheetView showGridLines="0" tabSelected="1" workbookViewId="0"/>
  </sheetViews>
  <sheetFormatPr baseColWidth="10" defaultColWidth="8.83203125" defaultRowHeight="15" customHeight="1" x14ac:dyDescent="0.2"/>
  <cols>
    <col min="1" max="1" width="14.5" style="1" customWidth="1"/>
    <col min="2" max="8" width="8.83203125" style="1" customWidth="1"/>
    <col min="9" max="9" width="29" style="1" customWidth="1"/>
    <col min="10" max="10" width="10.6640625" style="1" customWidth="1"/>
    <col min="11" max="14" width="8.83203125" style="1" customWidth="1"/>
    <col min="15" max="15" width="6" style="1" customWidth="1"/>
    <col min="16" max="16" width="10.5" style="1" customWidth="1"/>
    <col min="17" max="17" width="17.5" style="1" customWidth="1"/>
    <col min="18" max="18" width="13.5" style="1" customWidth="1"/>
    <col min="19" max="256" width="8.83203125" style="1" customWidth="1"/>
  </cols>
  <sheetData>
    <row r="1" spans="1:18" ht="15" customHeight="1" x14ac:dyDescent="0.2">
      <c r="A1" s="2" t="s">
        <v>0</v>
      </c>
      <c r="B1" s="2" t="s">
        <v>1</v>
      </c>
      <c r="C1" s="3"/>
      <c r="D1" s="3"/>
      <c r="E1" s="2" t="s">
        <v>2</v>
      </c>
      <c r="F1" s="2" t="s">
        <v>3</v>
      </c>
      <c r="G1" s="3"/>
      <c r="H1" s="3"/>
      <c r="I1" s="3"/>
      <c r="J1" s="2" t="s">
        <v>4</v>
      </c>
      <c r="K1" s="3"/>
      <c r="L1" s="3"/>
      <c r="M1" s="3"/>
      <c r="N1" s="3"/>
      <c r="O1" s="3"/>
      <c r="P1" s="3"/>
      <c r="Q1" s="3"/>
      <c r="R1" s="3"/>
    </row>
    <row r="2" spans="1:18" ht="15" customHeight="1" x14ac:dyDescent="0.2">
      <c r="A2" s="2" t="s">
        <v>5</v>
      </c>
      <c r="B2" s="2" t="s">
        <v>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ht="1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ht="15" customHeight="1" x14ac:dyDescent="0.2">
      <c r="A4" s="3"/>
      <c r="B4" s="3"/>
      <c r="C4" s="4" t="s">
        <v>7</v>
      </c>
      <c r="D4" s="3"/>
      <c r="E4" s="3"/>
      <c r="F4" s="3"/>
      <c r="G4" s="4" t="s">
        <v>8</v>
      </c>
      <c r="H4" s="3"/>
      <c r="I4" s="3"/>
      <c r="J4" s="3"/>
      <c r="K4" s="3"/>
      <c r="L4" s="3"/>
      <c r="M4" s="3"/>
      <c r="N4" s="3"/>
      <c r="O4" s="3"/>
      <c r="P4" s="3"/>
      <c r="Q4" s="4" t="s">
        <v>9</v>
      </c>
      <c r="R4" s="3"/>
    </row>
    <row r="5" spans="1:18" ht="15" customHeight="1" x14ac:dyDescent="0.2">
      <c r="A5" s="3"/>
      <c r="B5" s="3"/>
      <c r="C5" s="3"/>
      <c r="D5" s="3"/>
      <c r="E5" s="3"/>
      <c r="F5" s="3"/>
      <c r="G5" s="3"/>
      <c r="H5" s="3"/>
      <c r="I5" s="3"/>
      <c r="J5" s="2" t="s">
        <v>10</v>
      </c>
      <c r="K5" s="2" t="s">
        <v>10</v>
      </c>
      <c r="L5" s="2" t="s">
        <v>10</v>
      </c>
      <c r="M5" s="3"/>
      <c r="N5" s="3"/>
      <c r="O5" s="3"/>
      <c r="P5" s="3"/>
      <c r="Q5" s="3"/>
      <c r="R5" s="3"/>
    </row>
    <row r="6" spans="1:18" ht="15" customHeight="1" x14ac:dyDescent="0.2">
      <c r="A6" s="3"/>
      <c r="B6" s="3"/>
      <c r="C6" s="3"/>
      <c r="D6" s="3"/>
      <c r="E6" s="3"/>
      <c r="F6" s="5" t="s">
        <v>11</v>
      </c>
      <c r="G6" s="5" t="s">
        <v>11</v>
      </c>
      <c r="H6" s="5" t="s">
        <v>11</v>
      </c>
      <c r="I6" s="2" t="s">
        <v>12</v>
      </c>
      <c r="J6" s="5" t="s">
        <v>11</v>
      </c>
      <c r="K6" s="5" t="s">
        <v>11</v>
      </c>
      <c r="L6" s="5" t="s">
        <v>11</v>
      </c>
      <c r="M6" s="6"/>
      <c r="N6" s="3"/>
      <c r="O6" s="3"/>
      <c r="P6" s="5" t="s">
        <v>13</v>
      </c>
      <c r="Q6" s="5" t="s">
        <v>14</v>
      </c>
      <c r="R6" s="5" t="s">
        <v>15</v>
      </c>
    </row>
    <row r="7" spans="1:18" ht="15" customHeight="1" x14ac:dyDescent="0.2">
      <c r="A7" s="7"/>
      <c r="B7" s="7"/>
      <c r="C7" s="8" t="s">
        <v>16</v>
      </c>
      <c r="D7" s="8" t="s">
        <v>17</v>
      </c>
      <c r="E7" s="7"/>
      <c r="F7" s="9" t="s">
        <v>18</v>
      </c>
      <c r="G7" s="9" t="s">
        <v>19</v>
      </c>
      <c r="H7" s="9" t="s">
        <v>20</v>
      </c>
      <c r="I7" s="9" t="s">
        <v>21</v>
      </c>
      <c r="J7" s="9" t="s">
        <v>18</v>
      </c>
      <c r="K7" s="9" t="s">
        <v>19</v>
      </c>
      <c r="L7" s="9" t="s">
        <v>20</v>
      </c>
      <c r="M7" s="10"/>
      <c r="N7" s="8" t="s">
        <v>17</v>
      </c>
      <c r="O7" s="7"/>
      <c r="P7" s="9" t="s">
        <v>22</v>
      </c>
      <c r="Q7" s="9" t="s">
        <v>23</v>
      </c>
      <c r="R7" s="9" t="s">
        <v>24</v>
      </c>
    </row>
    <row r="8" spans="1:18" ht="15" customHeight="1" x14ac:dyDescent="0.2">
      <c r="A8" s="11"/>
      <c r="B8" s="12"/>
      <c r="C8" s="12"/>
      <c r="D8" s="12"/>
      <c r="E8" s="12"/>
      <c r="F8" s="13"/>
      <c r="G8" s="13"/>
      <c r="H8" s="13"/>
      <c r="I8" s="12"/>
      <c r="J8" s="12"/>
      <c r="K8" s="12"/>
      <c r="L8" s="12"/>
      <c r="M8" s="12"/>
      <c r="N8" s="12"/>
      <c r="O8" s="12"/>
      <c r="P8" s="12"/>
      <c r="Q8" s="12"/>
      <c r="R8" s="14"/>
    </row>
    <row r="9" spans="1:18" ht="15" customHeight="1" x14ac:dyDescent="0.2">
      <c r="A9" s="15"/>
      <c r="B9" s="15"/>
      <c r="C9" s="16">
        <v>1950</v>
      </c>
      <c r="D9" s="16">
        <v>1950</v>
      </c>
      <c r="E9" s="17"/>
      <c r="F9" s="18">
        <v>4</v>
      </c>
      <c r="G9" s="19">
        <v>0</v>
      </c>
      <c r="H9" s="20">
        <v>-5</v>
      </c>
      <c r="I9" s="21">
        <v>17</v>
      </c>
      <c r="J9" s="16">
        <f>SUM(F9:F18)/8</f>
        <v>0.25</v>
      </c>
      <c r="K9" s="16">
        <f>SUM(G9:G18)/8</f>
        <v>-4</v>
      </c>
      <c r="L9" s="16">
        <f>SUM(H9:H18)/8</f>
        <v>-8.25</v>
      </c>
      <c r="M9" s="15"/>
      <c r="N9" s="16">
        <v>1950</v>
      </c>
      <c r="O9" s="15"/>
      <c r="P9" s="15"/>
      <c r="Q9" s="15"/>
      <c r="R9" s="15"/>
    </row>
    <row r="10" spans="1:18" ht="15" customHeight="1" x14ac:dyDescent="0.2">
      <c r="A10" s="3"/>
      <c r="B10" s="3"/>
      <c r="C10" s="3"/>
      <c r="D10" s="22">
        <v>1951</v>
      </c>
      <c r="E10" s="23"/>
      <c r="F10" s="24">
        <v>2</v>
      </c>
      <c r="G10" s="25">
        <v>-2</v>
      </c>
      <c r="H10" s="26">
        <v>-6</v>
      </c>
      <c r="I10" s="27">
        <v>21</v>
      </c>
      <c r="J10" s="3"/>
      <c r="K10" s="3"/>
      <c r="L10" s="3"/>
      <c r="M10" s="3"/>
      <c r="N10" s="22">
        <v>1951</v>
      </c>
      <c r="O10" s="3"/>
      <c r="P10" s="3"/>
      <c r="Q10" s="3"/>
      <c r="R10" s="3"/>
    </row>
    <row r="11" spans="1:18" ht="15" customHeight="1" x14ac:dyDescent="0.2">
      <c r="A11" s="3"/>
      <c r="B11" s="3"/>
      <c r="C11" s="3"/>
      <c r="D11" s="22">
        <v>1952</v>
      </c>
      <c r="E11" s="23"/>
      <c r="F11" s="24">
        <v>2</v>
      </c>
      <c r="G11" s="25">
        <v>-3</v>
      </c>
      <c r="H11" s="26">
        <v>-7</v>
      </c>
      <c r="I11" s="27">
        <v>22</v>
      </c>
      <c r="J11" s="3"/>
      <c r="K11" s="3"/>
      <c r="L11" s="3"/>
      <c r="M11" s="3"/>
      <c r="N11" s="22">
        <v>1952</v>
      </c>
      <c r="O11" s="3"/>
      <c r="P11" s="3"/>
      <c r="Q11" s="3"/>
      <c r="R11" s="3"/>
    </row>
    <row r="12" spans="1:18" ht="15" customHeight="1" x14ac:dyDescent="0.2">
      <c r="A12" s="3"/>
      <c r="B12" s="3"/>
      <c r="C12" s="3"/>
      <c r="D12" s="22">
        <v>1953</v>
      </c>
      <c r="E12" s="23"/>
      <c r="F12" s="24">
        <v>2</v>
      </c>
      <c r="G12" s="25">
        <v>-1</v>
      </c>
      <c r="H12" s="26">
        <v>-5</v>
      </c>
      <c r="I12" s="27">
        <v>21</v>
      </c>
      <c r="J12" s="3"/>
      <c r="K12" s="3"/>
      <c r="L12" s="3"/>
      <c r="M12" s="3"/>
      <c r="N12" s="22">
        <v>1953</v>
      </c>
      <c r="O12" s="3"/>
      <c r="P12" s="3"/>
      <c r="Q12" s="3"/>
      <c r="R12" s="3"/>
    </row>
    <row r="13" spans="1:18" ht="15" customHeight="1" x14ac:dyDescent="0.2">
      <c r="A13" s="3"/>
      <c r="B13" s="3"/>
      <c r="C13" s="3"/>
      <c r="D13" s="22">
        <v>1954</v>
      </c>
      <c r="E13" s="23"/>
      <c r="F13" s="24">
        <v>-2</v>
      </c>
      <c r="G13" s="25">
        <v>-6</v>
      </c>
      <c r="H13" s="26">
        <v>-10</v>
      </c>
      <c r="I13" s="27">
        <v>27</v>
      </c>
      <c r="J13" s="3"/>
      <c r="K13" s="3"/>
      <c r="L13" s="3"/>
      <c r="M13" s="3"/>
      <c r="N13" s="22">
        <v>1954</v>
      </c>
      <c r="O13" s="3"/>
      <c r="P13" s="3"/>
      <c r="Q13" s="3"/>
      <c r="R13" s="3"/>
    </row>
    <row r="14" spans="1:18" ht="15" customHeight="1" x14ac:dyDescent="0.2">
      <c r="A14" s="3"/>
      <c r="B14" s="3"/>
      <c r="C14" s="3"/>
      <c r="D14" s="22">
        <v>1955</v>
      </c>
      <c r="E14" s="23"/>
      <c r="F14" s="24">
        <v>-1</v>
      </c>
      <c r="G14" s="25">
        <v>-5</v>
      </c>
      <c r="H14" s="26">
        <v>-8</v>
      </c>
      <c r="I14" s="27">
        <v>29</v>
      </c>
      <c r="J14" s="3"/>
      <c r="K14" s="3"/>
      <c r="L14" s="3"/>
      <c r="M14" s="3"/>
      <c r="N14" s="22">
        <v>1955</v>
      </c>
      <c r="O14" s="3"/>
      <c r="P14" s="3"/>
      <c r="Q14" s="3"/>
      <c r="R14" s="3"/>
    </row>
    <row r="15" spans="1:18" ht="15" customHeight="1" x14ac:dyDescent="0.2">
      <c r="A15" s="3"/>
      <c r="B15" s="3"/>
      <c r="C15" s="3"/>
      <c r="D15" s="22">
        <v>1956</v>
      </c>
      <c r="E15" s="23"/>
      <c r="F15" s="24">
        <v>0</v>
      </c>
      <c r="G15" s="25">
        <v>-3</v>
      </c>
      <c r="H15" s="26">
        <v>-6</v>
      </c>
      <c r="I15" s="27">
        <v>26</v>
      </c>
      <c r="J15" s="3"/>
      <c r="K15" s="3"/>
      <c r="L15" s="3"/>
      <c r="M15" s="3"/>
      <c r="N15" s="22">
        <v>1956</v>
      </c>
      <c r="O15" s="3"/>
      <c r="P15" s="3"/>
      <c r="Q15" s="3"/>
      <c r="R15" s="3"/>
    </row>
    <row r="16" spans="1:18" ht="15" customHeight="1" x14ac:dyDescent="0.2">
      <c r="A16" s="3"/>
      <c r="B16" s="3"/>
      <c r="C16" s="3"/>
      <c r="D16" s="22">
        <v>1957</v>
      </c>
      <c r="E16" s="23"/>
      <c r="F16" s="24">
        <v>-4</v>
      </c>
      <c r="G16" s="25">
        <v>-8</v>
      </c>
      <c r="H16" s="26">
        <v>-12</v>
      </c>
      <c r="I16" s="27">
        <v>28</v>
      </c>
      <c r="J16" s="3"/>
      <c r="K16" s="3"/>
      <c r="L16" s="3"/>
      <c r="M16" s="3"/>
      <c r="N16" s="22">
        <v>1957</v>
      </c>
      <c r="O16" s="3"/>
      <c r="P16" s="22">
        <v>39.86</v>
      </c>
      <c r="Q16" s="22">
        <v>6</v>
      </c>
      <c r="R16" s="3"/>
    </row>
    <row r="17" spans="1:18" ht="15" customHeight="1" x14ac:dyDescent="0.2">
      <c r="A17" s="3"/>
      <c r="B17" s="3"/>
      <c r="C17" s="3"/>
      <c r="D17" s="22">
        <v>1958</v>
      </c>
      <c r="E17" s="23"/>
      <c r="F17" s="24">
        <v>-1</v>
      </c>
      <c r="G17" s="25">
        <v>-4</v>
      </c>
      <c r="H17" s="26">
        <v>-7</v>
      </c>
      <c r="I17" s="27">
        <v>26</v>
      </c>
      <c r="J17" s="3"/>
      <c r="K17" s="3"/>
      <c r="L17" s="3"/>
      <c r="M17" s="3"/>
      <c r="N17" s="22">
        <v>1958</v>
      </c>
      <c r="O17" s="3"/>
      <c r="P17" s="22">
        <v>196.33</v>
      </c>
      <c r="Q17" s="22">
        <v>17</v>
      </c>
      <c r="R17" s="3"/>
    </row>
    <row r="18" spans="1:18" ht="15" customHeight="1" x14ac:dyDescent="0.2">
      <c r="A18" s="3"/>
      <c r="B18" s="3"/>
      <c r="C18" s="3"/>
      <c r="D18" s="22">
        <v>1959</v>
      </c>
      <c r="E18" s="23"/>
      <c r="F18" s="28"/>
      <c r="G18" s="29"/>
      <c r="H18" s="30"/>
      <c r="I18" s="31"/>
      <c r="J18" s="3"/>
      <c r="K18" s="3"/>
      <c r="L18" s="3"/>
      <c r="M18" s="3"/>
      <c r="N18" s="22">
        <v>1959</v>
      </c>
      <c r="O18" s="3"/>
      <c r="P18" s="3"/>
      <c r="Q18" s="3"/>
      <c r="R18" s="3"/>
    </row>
    <row r="19" spans="1:18" ht="15" customHeight="1" x14ac:dyDescent="0.2">
      <c r="A19" s="3"/>
      <c r="B19" s="3"/>
      <c r="C19" s="22">
        <v>1960</v>
      </c>
      <c r="D19" s="22">
        <v>1960</v>
      </c>
      <c r="E19" s="23"/>
      <c r="F19" s="24">
        <v>-1</v>
      </c>
      <c r="G19" s="25">
        <v>-4</v>
      </c>
      <c r="H19" s="26">
        <v>-7</v>
      </c>
      <c r="I19" s="27">
        <v>30</v>
      </c>
      <c r="J19" s="22">
        <f>SUM(F19:F28)/10</f>
        <v>-1</v>
      </c>
      <c r="K19" s="22">
        <f>SUM(G19:G28)/10</f>
        <v>-4.8</v>
      </c>
      <c r="L19" s="22">
        <f>SUM(H19:H28)/10</f>
        <v>-8.6</v>
      </c>
      <c r="M19" s="3"/>
      <c r="N19" s="22">
        <v>1960</v>
      </c>
      <c r="O19" s="3"/>
      <c r="P19" s="22">
        <v>75.95</v>
      </c>
      <c r="Q19" s="22">
        <v>9</v>
      </c>
      <c r="R19" s="3"/>
    </row>
    <row r="20" spans="1:18" ht="15" customHeight="1" x14ac:dyDescent="0.2">
      <c r="A20" s="3"/>
      <c r="B20" s="3"/>
      <c r="C20" s="3"/>
      <c r="D20" s="22">
        <v>1961</v>
      </c>
      <c r="E20" s="23"/>
      <c r="F20" s="24">
        <v>-3</v>
      </c>
      <c r="G20" s="25">
        <v>-7</v>
      </c>
      <c r="H20" s="26">
        <v>-11</v>
      </c>
      <c r="I20" s="27">
        <v>29</v>
      </c>
      <c r="J20" s="3"/>
      <c r="K20" s="3"/>
      <c r="L20" s="3"/>
      <c r="M20" s="3"/>
      <c r="N20" s="22">
        <v>1961</v>
      </c>
      <c r="O20" s="3"/>
      <c r="P20" s="22">
        <v>75.95</v>
      </c>
      <c r="Q20" s="22">
        <v>6</v>
      </c>
      <c r="R20" s="3"/>
    </row>
    <row r="21" spans="1:18" ht="15" customHeight="1" x14ac:dyDescent="0.2">
      <c r="A21" s="3"/>
      <c r="B21" s="3"/>
      <c r="C21" s="3"/>
      <c r="D21" s="22">
        <v>1962</v>
      </c>
      <c r="E21" s="23"/>
      <c r="F21" s="24">
        <v>0</v>
      </c>
      <c r="G21" s="25">
        <v>-5</v>
      </c>
      <c r="H21" s="26">
        <v>-9</v>
      </c>
      <c r="I21" s="27">
        <v>25</v>
      </c>
      <c r="J21" s="3"/>
      <c r="K21" s="3"/>
      <c r="L21" s="3"/>
      <c r="M21" s="3"/>
      <c r="N21" s="22">
        <v>1962</v>
      </c>
      <c r="O21" s="3"/>
      <c r="P21" s="22">
        <v>99.82</v>
      </c>
      <c r="Q21" s="22">
        <v>7</v>
      </c>
      <c r="R21" s="3"/>
    </row>
    <row r="22" spans="1:18" ht="15" customHeight="1" x14ac:dyDescent="0.2">
      <c r="A22" s="3"/>
      <c r="B22" s="3"/>
      <c r="C22" s="3"/>
      <c r="D22" s="22">
        <v>1963</v>
      </c>
      <c r="E22" s="23"/>
      <c r="F22" s="24">
        <v>-1</v>
      </c>
      <c r="G22" s="25">
        <v>-5</v>
      </c>
      <c r="H22" s="26">
        <v>-9</v>
      </c>
      <c r="I22" s="27">
        <v>28</v>
      </c>
      <c r="J22" s="3"/>
      <c r="K22" s="3"/>
      <c r="L22" s="3"/>
      <c r="M22" s="3"/>
      <c r="N22" s="22">
        <v>1963</v>
      </c>
      <c r="O22" s="3"/>
      <c r="P22" s="22">
        <v>74.42</v>
      </c>
      <c r="Q22" s="22">
        <v>12</v>
      </c>
      <c r="R22" s="3"/>
    </row>
    <row r="23" spans="1:18" ht="15" customHeight="1" x14ac:dyDescent="0.2">
      <c r="A23" s="3"/>
      <c r="B23" s="3"/>
      <c r="C23" s="3"/>
      <c r="D23" s="22">
        <v>1964</v>
      </c>
      <c r="E23" s="23"/>
      <c r="F23" s="24">
        <v>1</v>
      </c>
      <c r="G23" s="25">
        <v>-3</v>
      </c>
      <c r="H23" s="26">
        <v>-7</v>
      </c>
      <c r="I23" s="27">
        <v>24</v>
      </c>
      <c r="J23" s="3"/>
      <c r="K23" s="3"/>
      <c r="L23" s="3"/>
      <c r="M23" s="3"/>
      <c r="N23" s="22">
        <v>1964</v>
      </c>
      <c r="O23" s="3"/>
      <c r="P23" s="22">
        <v>132.83000000000001</v>
      </c>
      <c r="Q23" s="22">
        <v>10</v>
      </c>
      <c r="R23" s="3"/>
    </row>
    <row r="24" spans="1:18" ht="15" customHeight="1" x14ac:dyDescent="0.2">
      <c r="A24" s="3"/>
      <c r="B24" s="3"/>
      <c r="C24" s="3"/>
      <c r="D24" s="22">
        <v>1965</v>
      </c>
      <c r="E24" s="23"/>
      <c r="F24" s="24">
        <v>-2</v>
      </c>
      <c r="G24" s="25">
        <v>-6</v>
      </c>
      <c r="H24" s="26">
        <v>-10</v>
      </c>
      <c r="I24" s="27">
        <v>28</v>
      </c>
      <c r="J24" s="3"/>
      <c r="K24" s="3"/>
      <c r="L24" s="3"/>
      <c r="M24" s="3"/>
      <c r="N24" s="22">
        <v>1965</v>
      </c>
      <c r="O24" s="3"/>
      <c r="P24" s="22">
        <v>15.99</v>
      </c>
      <c r="Q24" s="22">
        <v>12</v>
      </c>
      <c r="R24" s="3"/>
    </row>
    <row r="25" spans="1:18" ht="15" customHeight="1" x14ac:dyDescent="0.2">
      <c r="A25" s="3"/>
      <c r="B25" s="3"/>
      <c r="C25" s="3"/>
      <c r="D25" s="22">
        <v>1966</v>
      </c>
      <c r="E25" s="23"/>
      <c r="F25" s="24">
        <v>-2</v>
      </c>
      <c r="G25" s="25">
        <v>-5</v>
      </c>
      <c r="H25" s="26">
        <v>-9</v>
      </c>
      <c r="I25" s="27">
        <v>30</v>
      </c>
      <c r="J25" s="3"/>
      <c r="K25" s="3"/>
      <c r="L25" s="3"/>
      <c r="M25" s="3"/>
      <c r="N25" s="22">
        <v>1966</v>
      </c>
      <c r="O25" s="3"/>
      <c r="P25" s="22">
        <v>37.590000000000003</v>
      </c>
      <c r="Q25" s="22">
        <v>12</v>
      </c>
      <c r="R25" s="3"/>
    </row>
    <row r="26" spans="1:18" ht="15" customHeight="1" x14ac:dyDescent="0.2">
      <c r="A26" s="3"/>
      <c r="B26" s="3"/>
      <c r="C26" s="3"/>
      <c r="D26" s="22">
        <v>1967</v>
      </c>
      <c r="E26" s="23"/>
      <c r="F26" s="24">
        <v>2</v>
      </c>
      <c r="G26" s="25">
        <v>-1</v>
      </c>
      <c r="H26" s="25">
        <v>-5</v>
      </c>
      <c r="I26" s="32">
        <v>22</v>
      </c>
      <c r="J26" s="3"/>
      <c r="K26" s="3"/>
      <c r="L26" s="3"/>
      <c r="M26" s="3"/>
      <c r="N26" s="22">
        <v>1967</v>
      </c>
      <c r="O26" s="3"/>
      <c r="P26" s="22">
        <v>18.78</v>
      </c>
      <c r="Q26" s="22">
        <v>9</v>
      </c>
      <c r="R26" s="3"/>
    </row>
    <row r="27" spans="1:18" ht="15" customHeight="1" x14ac:dyDescent="0.2">
      <c r="A27" s="3"/>
      <c r="B27" s="3"/>
      <c r="C27" s="3"/>
      <c r="D27" s="22">
        <v>1968</v>
      </c>
      <c r="E27" s="23"/>
      <c r="F27" s="24">
        <v>-3</v>
      </c>
      <c r="G27" s="25">
        <v>-7</v>
      </c>
      <c r="H27" s="26">
        <v>-11</v>
      </c>
      <c r="I27" s="27">
        <v>26</v>
      </c>
      <c r="J27" s="3"/>
      <c r="K27" s="3"/>
      <c r="L27" s="3"/>
      <c r="M27" s="3"/>
      <c r="N27" s="22">
        <v>1968</v>
      </c>
      <c r="O27" s="3"/>
      <c r="P27" s="22">
        <v>24.36</v>
      </c>
      <c r="Q27" s="22">
        <v>11</v>
      </c>
      <c r="R27" s="3"/>
    </row>
    <row r="28" spans="1:18" ht="15" customHeight="1" x14ac:dyDescent="0.2">
      <c r="A28" s="3"/>
      <c r="B28" s="3"/>
      <c r="C28" s="3"/>
      <c r="D28" s="22">
        <v>1969</v>
      </c>
      <c r="E28" s="23"/>
      <c r="F28" s="24">
        <v>-1</v>
      </c>
      <c r="G28" s="25">
        <v>-5</v>
      </c>
      <c r="H28" s="26">
        <v>-8</v>
      </c>
      <c r="I28" s="27">
        <v>25</v>
      </c>
      <c r="J28" s="3"/>
      <c r="K28" s="3"/>
      <c r="L28" s="3"/>
      <c r="M28" s="3"/>
      <c r="N28" s="22">
        <v>1969</v>
      </c>
      <c r="O28" s="3"/>
      <c r="P28" s="22">
        <v>10.9</v>
      </c>
      <c r="Q28" s="22">
        <v>9</v>
      </c>
      <c r="R28" s="3"/>
    </row>
    <row r="29" spans="1:18" ht="15" customHeight="1" x14ac:dyDescent="0.2">
      <c r="A29" s="3"/>
      <c r="B29" s="3"/>
      <c r="C29" s="22">
        <v>1970</v>
      </c>
      <c r="D29" s="22">
        <v>1970</v>
      </c>
      <c r="E29" s="23"/>
      <c r="F29" s="24">
        <v>-6</v>
      </c>
      <c r="G29" s="25">
        <v>-9</v>
      </c>
      <c r="H29" s="26">
        <v>-13</v>
      </c>
      <c r="I29" s="27">
        <v>30</v>
      </c>
      <c r="J29" s="22">
        <f>SUM(F29:F38)/4</f>
        <v>-3</v>
      </c>
      <c r="K29" s="22">
        <f>SUM(G29:G38)/4</f>
        <v>-13.25</v>
      </c>
      <c r="L29" s="22">
        <f>SUM(H29:H38)/4</f>
        <v>-23.75</v>
      </c>
      <c r="M29" s="3"/>
      <c r="N29" s="22">
        <v>1970</v>
      </c>
      <c r="O29" s="3"/>
      <c r="P29" s="22">
        <v>6.85</v>
      </c>
      <c r="Q29" s="22">
        <v>7</v>
      </c>
      <c r="R29" s="3"/>
    </row>
    <row r="30" spans="1:18" ht="15" customHeight="1" x14ac:dyDescent="0.2">
      <c r="A30" s="3"/>
      <c r="B30" s="3"/>
      <c r="C30" s="3"/>
      <c r="D30" s="22">
        <v>1971</v>
      </c>
      <c r="E30" s="23"/>
      <c r="F30" s="24">
        <v>-4</v>
      </c>
      <c r="G30" s="25">
        <v>-8</v>
      </c>
      <c r="H30" s="26">
        <v>-12</v>
      </c>
      <c r="I30" s="27">
        <v>28</v>
      </c>
      <c r="J30" s="3"/>
      <c r="K30" s="3"/>
      <c r="L30" s="3"/>
      <c r="M30" s="3"/>
      <c r="N30" s="22">
        <v>1971</v>
      </c>
      <c r="O30" s="3"/>
      <c r="P30" s="22">
        <v>11.92</v>
      </c>
      <c r="Q30" s="22">
        <v>9</v>
      </c>
      <c r="R30" s="3"/>
    </row>
    <row r="31" spans="1:18" ht="15" customHeight="1" x14ac:dyDescent="0.2">
      <c r="A31" s="3"/>
      <c r="B31" s="3"/>
      <c r="C31" s="3"/>
      <c r="D31" s="22">
        <v>1972</v>
      </c>
      <c r="E31" s="23"/>
      <c r="F31" s="24">
        <v>1</v>
      </c>
      <c r="G31" s="25">
        <v>-3</v>
      </c>
      <c r="H31" s="26">
        <v>-7</v>
      </c>
      <c r="I31" s="27">
        <v>21</v>
      </c>
      <c r="J31" s="3"/>
      <c r="K31" s="3"/>
      <c r="L31" s="3"/>
      <c r="M31" s="3"/>
      <c r="N31" s="22">
        <v>1972</v>
      </c>
      <c r="O31" s="3"/>
      <c r="P31" s="22">
        <v>19.82</v>
      </c>
      <c r="Q31" s="22">
        <v>10</v>
      </c>
      <c r="R31" s="3"/>
    </row>
    <row r="32" spans="1:18" ht="15" customHeight="1" x14ac:dyDescent="0.2">
      <c r="A32" s="3"/>
      <c r="B32" s="3"/>
      <c r="C32" s="3"/>
      <c r="D32" s="22">
        <v>1973</v>
      </c>
      <c r="E32" s="23"/>
      <c r="F32" s="24">
        <v>5</v>
      </c>
      <c r="G32" s="25">
        <v>-2</v>
      </c>
      <c r="H32" s="26">
        <v>-9</v>
      </c>
      <c r="I32" s="27">
        <v>22</v>
      </c>
      <c r="J32" s="3"/>
      <c r="K32" s="3"/>
      <c r="L32" s="3"/>
      <c r="M32" s="3"/>
      <c r="N32" s="22">
        <v>1973</v>
      </c>
      <c r="O32" s="3"/>
      <c r="P32" s="22">
        <v>82.3</v>
      </c>
      <c r="Q32" s="22">
        <v>9</v>
      </c>
      <c r="R32" s="3"/>
    </row>
    <row r="33" spans="1:18" ht="15" customHeight="1" x14ac:dyDescent="0.2">
      <c r="A33" s="3"/>
      <c r="B33" s="3"/>
      <c r="C33" s="3"/>
      <c r="D33" s="22">
        <v>1974</v>
      </c>
      <c r="E33" s="23"/>
      <c r="F33" s="24">
        <v>1</v>
      </c>
      <c r="G33" s="25">
        <v>-3</v>
      </c>
      <c r="H33" s="26">
        <v>-7</v>
      </c>
      <c r="I33" s="27">
        <v>21</v>
      </c>
      <c r="J33" s="3"/>
      <c r="K33" s="3"/>
      <c r="L33" s="3"/>
      <c r="M33" s="3"/>
      <c r="N33" s="22">
        <v>1974</v>
      </c>
      <c r="O33" s="3"/>
      <c r="P33" s="22">
        <v>88.66</v>
      </c>
      <c r="Q33" s="22">
        <v>16</v>
      </c>
      <c r="R33" s="3"/>
    </row>
    <row r="34" spans="1:18" ht="15" customHeight="1" x14ac:dyDescent="0.2">
      <c r="A34" s="3"/>
      <c r="B34" s="3"/>
      <c r="C34" s="3"/>
      <c r="D34" s="22">
        <v>1975</v>
      </c>
      <c r="E34" s="23"/>
      <c r="F34" s="24">
        <v>1</v>
      </c>
      <c r="G34" s="25">
        <v>-2</v>
      </c>
      <c r="H34" s="26">
        <v>-6</v>
      </c>
      <c r="I34" s="27">
        <v>22</v>
      </c>
      <c r="J34" s="3"/>
      <c r="K34" s="3"/>
      <c r="L34" s="3"/>
      <c r="M34" s="3"/>
      <c r="N34" s="22">
        <v>1975</v>
      </c>
      <c r="O34" s="3"/>
      <c r="P34" s="22">
        <v>119.13</v>
      </c>
      <c r="Q34" s="22">
        <v>13</v>
      </c>
      <c r="R34" s="3"/>
    </row>
    <row r="35" spans="1:18" ht="15" customHeight="1" x14ac:dyDescent="0.2">
      <c r="A35" s="3"/>
      <c r="B35" s="3"/>
      <c r="C35" s="3"/>
      <c r="D35" s="22">
        <v>1976</v>
      </c>
      <c r="E35" s="23"/>
      <c r="F35" s="24">
        <v>-2</v>
      </c>
      <c r="G35" s="25">
        <v>-7</v>
      </c>
      <c r="H35" s="26">
        <v>-12</v>
      </c>
      <c r="I35" s="27">
        <v>28</v>
      </c>
      <c r="J35" s="3"/>
      <c r="K35" s="3"/>
      <c r="L35" s="3"/>
      <c r="M35" s="3"/>
      <c r="N35" s="22">
        <v>1976</v>
      </c>
      <c r="O35" s="3"/>
      <c r="P35" s="22">
        <v>139.97</v>
      </c>
      <c r="Q35" s="22">
        <v>17</v>
      </c>
      <c r="R35" s="3"/>
    </row>
    <row r="36" spans="1:18" ht="15" customHeight="1" x14ac:dyDescent="0.2">
      <c r="A36" s="3"/>
      <c r="B36" s="3"/>
      <c r="C36" s="3"/>
      <c r="D36" s="22">
        <v>1977</v>
      </c>
      <c r="E36" s="23"/>
      <c r="F36" s="24">
        <v>-5</v>
      </c>
      <c r="G36" s="25">
        <v>-9</v>
      </c>
      <c r="H36" s="26">
        <v>-12</v>
      </c>
      <c r="I36" s="27">
        <v>31</v>
      </c>
      <c r="J36" s="3"/>
      <c r="K36" s="3"/>
      <c r="L36" s="3"/>
      <c r="M36" s="3"/>
      <c r="N36" s="22">
        <v>1977</v>
      </c>
      <c r="O36" s="3"/>
      <c r="P36" s="22">
        <v>21.83</v>
      </c>
      <c r="Q36" s="22">
        <v>8</v>
      </c>
      <c r="R36" s="3"/>
    </row>
    <row r="37" spans="1:18" ht="15" customHeight="1" x14ac:dyDescent="0.2">
      <c r="A37" s="3"/>
      <c r="B37" s="3"/>
      <c r="C37" s="3"/>
      <c r="D37" s="22">
        <v>1978</v>
      </c>
      <c r="E37" s="23"/>
      <c r="F37" s="24">
        <v>-3</v>
      </c>
      <c r="G37" s="25">
        <v>-6</v>
      </c>
      <c r="H37" s="26">
        <v>-10</v>
      </c>
      <c r="I37" s="27">
        <v>29</v>
      </c>
      <c r="J37" s="3"/>
      <c r="K37" s="3"/>
      <c r="L37" s="3"/>
      <c r="M37" s="3"/>
      <c r="N37" s="22">
        <v>1978</v>
      </c>
      <c r="O37" s="3"/>
      <c r="P37" s="22">
        <v>162.28</v>
      </c>
      <c r="Q37" s="22">
        <v>16</v>
      </c>
      <c r="R37" s="3"/>
    </row>
    <row r="38" spans="1:18" ht="15" customHeight="1" x14ac:dyDescent="0.2">
      <c r="A38" s="3"/>
      <c r="B38" s="3"/>
      <c r="C38" s="3"/>
      <c r="D38" s="22">
        <v>1979</v>
      </c>
      <c r="E38" s="23"/>
      <c r="F38" s="24">
        <v>0</v>
      </c>
      <c r="G38" s="25">
        <v>-4</v>
      </c>
      <c r="H38" s="26">
        <v>-7</v>
      </c>
      <c r="I38" s="27">
        <v>22</v>
      </c>
      <c r="J38" s="3"/>
      <c r="K38" s="3"/>
      <c r="L38" s="3"/>
      <c r="M38" s="3"/>
      <c r="N38" s="22">
        <v>1979</v>
      </c>
      <c r="O38" s="3"/>
      <c r="P38" s="22">
        <v>220.98</v>
      </c>
      <c r="Q38" s="22">
        <v>16</v>
      </c>
      <c r="R38" s="3"/>
    </row>
    <row r="39" spans="1:18" ht="15" customHeight="1" x14ac:dyDescent="0.2">
      <c r="A39" s="3"/>
      <c r="B39" s="3"/>
      <c r="C39" s="22">
        <v>1980</v>
      </c>
      <c r="D39" s="22">
        <v>1980</v>
      </c>
      <c r="E39" s="23"/>
      <c r="F39" s="24">
        <v>0</v>
      </c>
      <c r="G39" s="25">
        <v>-4</v>
      </c>
      <c r="H39" s="26">
        <v>-8</v>
      </c>
      <c r="I39" s="27">
        <v>26</v>
      </c>
      <c r="J39" s="22">
        <f>SUM(F39:F48)/10</f>
        <v>-1.1000000000000001</v>
      </c>
      <c r="K39" s="22">
        <f>SUM(G39:G48)/10</f>
        <v>-5.0999999999999996</v>
      </c>
      <c r="L39" s="22">
        <f>SUM(H39:H48)/10</f>
        <v>-8.9</v>
      </c>
      <c r="M39" s="3"/>
      <c r="N39" s="22">
        <v>1980</v>
      </c>
      <c r="O39" s="3"/>
      <c r="P39" s="22">
        <v>416.82</v>
      </c>
      <c r="Q39" s="22">
        <v>15</v>
      </c>
      <c r="R39" s="22">
        <v>1</v>
      </c>
    </row>
    <row r="40" spans="1:18" ht="15" customHeight="1" x14ac:dyDescent="0.2">
      <c r="A40" s="3"/>
      <c r="B40" s="3"/>
      <c r="C40" s="3"/>
      <c r="D40" s="22">
        <v>1981</v>
      </c>
      <c r="E40" s="23"/>
      <c r="F40" s="24">
        <v>-5</v>
      </c>
      <c r="G40" s="25">
        <v>-9</v>
      </c>
      <c r="H40" s="26">
        <v>-13</v>
      </c>
      <c r="I40" s="27">
        <v>30</v>
      </c>
      <c r="J40" s="3"/>
      <c r="K40" s="3"/>
      <c r="L40" s="3"/>
      <c r="M40" s="3"/>
      <c r="N40" s="22">
        <v>1981</v>
      </c>
      <c r="O40" s="3"/>
      <c r="P40" s="22">
        <v>34.270000000000003</v>
      </c>
      <c r="Q40" s="22">
        <v>15</v>
      </c>
      <c r="R40" s="3"/>
    </row>
    <row r="41" spans="1:18" ht="15" customHeight="1" x14ac:dyDescent="0.2">
      <c r="A41" s="3"/>
      <c r="B41" s="3"/>
      <c r="C41" s="3"/>
      <c r="D41" s="22">
        <v>1982</v>
      </c>
      <c r="E41" s="23"/>
      <c r="F41" s="24">
        <v>-4</v>
      </c>
      <c r="G41" s="25">
        <v>-8</v>
      </c>
      <c r="H41" s="26">
        <v>-13</v>
      </c>
      <c r="I41" s="27">
        <v>29</v>
      </c>
      <c r="J41" s="3"/>
      <c r="K41" s="3"/>
      <c r="L41" s="3"/>
      <c r="M41" s="3"/>
      <c r="N41" s="22">
        <v>1982</v>
      </c>
      <c r="O41" s="3"/>
      <c r="P41" s="22">
        <v>123.43</v>
      </c>
      <c r="Q41" s="22">
        <v>14</v>
      </c>
      <c r="R41" s="3"/>
    </row>
    <row r="42" spans="1:18" ht="15" customHeight="1" x14ac:dyDescent="0.2">
      <c r="A42" s="3"/>
      <c r="B42" s="3"/>
      <c r="C42" s="3"/>
      <c r="D42" s="22">
        <v>1983</v>
      </c>
      <c r="E42" s="23"/>
      <c r="F42" s="24">
        <v>0</v>
      </c>
      <c r="G42" s="25">
        <v>-3</v>
      </c>
      <c r="H42" s="26">
        <v>-7</v>
      </c>
      <c r="I42" s="27">
        <v>24</v>
      </c>
      <c r="J42" s="3"/>
      <c r="K42" s="3"/>
      <c r="L42" s="3"/>
      <c r="M42" s="3"/>
      <c r="N42" s="22">
        <v>1983</v>
      </c>
      <c r="O42" s="3"/>
      <c r="P42" s="22">
        <v>98.54</v>
      </c>
      <c r="Q42" s="22">
        <v>12</v>
      </c>
      <c r="R42" s="3"/>
    </row>
    <row r="43" spans="1:18" ht="15" customHeight="1" x14ac:dyDescent="0.2">
      <c r="A43" s="3"/>
      <c r="B43" s="3"/>
      <c r="C43" s="3"/>
      <c r="D43" s="22">
        <v>1984</v>
      </c>
      <c r="E43" s="23"/>
      <c r="F43" s="24">
        <v>-1</v>
      </c>
      <c r="G43" s="25">
        <v>-5</v>
      </c>
      <c r="H43" s="26">
        <v>-8</v>
      </c>
      <c r="I43" s="27">
        <v>26</v>
      </c>
      <c r="J43" s="3"/>
      <c r="K43" s="3"/>
      <c r="L43" s="3"/>
      <c r="M43" s="3"/>
      <c r="N43" s="22">
        <v>1984</v>
      </c>
      <c r="O43" s="3"/>
      <c r="P43" s="22">
        <v>65.03</v>
      </c>
      <c r="Q43" s="22">
        <v>16</v>
      </c>
      <c r="R43" s="3"/>
    </row>
    <row r="44" spans="1:18" ht="15" customHeight="1" x14ac:dyDescent="0.2">
      <c r="A44" s="3"/>
      <c r="B44" s="3"/>
      <c r="C44" s="3"/>
      <c r="D44" s="22">
        <v>1985</v>
      </c>
      <c r="E44" s="23"/>
      <c r="F44" s="24">
        <v>-3</v>
      </c>
      <c r="G44" s="25">
        <v>-7</v>
      </c>
      <c r="H44" s="26">
        <v>-10</v>
      </c>
      <c r="I44" s="27">
        <v>30</v>
      </c>
      <c r="J44" s="3"/>
      <c r="K44" s="3"/>
      <c r="L44" s="3"/>
      <c r="M44" s="3"/>
      <c r="N44" s="22">
        <v>1985</v>
      </c>
      <c r="O44" s="3"/>
      <c r="P44" s="22">
        <v>33.79</v>
      </c>
      <c r="Q44" s="22">
        <v>14</v>
      </c>
      <c r="R44" s="3"/>
    </row>
    <row r="45" spans="1:18" ht="15" customHeight="1" x14ac:dyDescent="0.2">
      <c r="A45" s="3"/>
      <c r="B45" s="3"/>
      <c r="C45" s="3"/>
      <c r="D45" s="22">
        <v>1986</v>
      </c>
      <c r="E45" s="23"/>
      <c r="F45" s="24">
        <v>2</v>
      </c>
      <c r="G45" s="25">
        <v>-3</v>
      </c>
      <c r="H45" s="26">
        <v>-7</v>
      </c>
      <c r="I45" s="27">
        <v>22</v>
      </c>
      <c r="J45" s="3"/>
      <c r="K45" s="3"/>
      <c r="L45" s="3"/>
      <c r="M45" s="3"/>
      <c r="N45" s="22">
        <v>1986</v>
      </c>
      <c r="O45" s="3"/>
      <c r="P45" s="22">
        <v>137.65</v>
      </c>
      <c r="Q45" s="22">
        <v>11</v>
      </c>
      <c r="R45" s="3"/>
    </row>
    <row r="46" spans="1:18" ht="15" customHeight="1" x14ac:dyDescent="0.2">
      <c r="A46" s="3"/>
      <c r="B46" s="3"/>
      <c r="C46" s="3"/>
      <c r="D46" s="22">
        <v>1987</v>
      </c>
      <c r="E46" s="23"/>
      <c r="F46" s="24">
        <v>-1</v>
      </c>
      <c r="G46" s="25">
        <v>-5</v>
      </c>
      <c r="H46" s="26">
        <v>-8</v>
      </c>
      <c r="I46" s="27">
        <v>29</v>
      </c>
      <c r="J46" s="3"/>
      <c r="K46" s="3"/>
      <c r="L46" s="3"/>
      <c r="M46" s="3"/>
      <c r="N46" s="22">
        <v>1987</v>
      </c>
      <c r="O46" s="3"/>
      <c r="P46" s="22">
        <v>138.66999999999999</v>
      </c>
      <c r="Q46" s="22">
        <v>16</v>
      </c>
      <c r="R46" s="3"/>
    </row>
    <row r="47" spans="1:18" ht="15" customHeight="1" x14ac:dyDescent="0.2">
      <c r="A47" s="3"/>
      <c r="B47" s="3"/>
      <c r="C47" s="3"/>
      <c r="D47" s="22">
        <v>1988</v>
      </c>
      <c r="E47" s="23"/>
      <c r="F47" s="24">
        <v>-1</v>
      </c>
      <c r="G47" s="25">
        <v>-5</v>
      </c>
      <c r="H47" s="26">
        <v>-9</v>
      </c>
      <c r="I47" s="27">
        <v>24</v>
      </c>
      <c r="J47" s="3"/>
      <c r="K47" s="3"/>
      <c r="L47" s="3"/>
      <c r="M47" s="3"/>
      <c r="N47" s="22">
        <v>1988</v>
      </c>
      <c r="O47" s="3"/>
      <c r="P47" s="22">
        <v>88.39</v>
      </c>
      <c r="Q47" s="22">
        <v>17</v>
      </c>
      <c r="R47" s="3"/>
    </row>
    <row r="48" spans="1:18" ht="15" customHeight="1" x14ac:dyDescent="0.2">
      <c r="A48" s="3"/>
      <c r="B48" s="3"/>
      <c r="C48" s="3"/>
      <c r="D48" s="22">
        <v>1989</v>
      </c>
      <c r="E48" s="23"/>
      <c r="F48" s="24">
        <v>2</v>
      </c>
      <c r="G48" s="25">
        <v>-2</v>
      </c>
      <c r="H48" s="26">
        <v>-6</v>
      </c>
      <c r="I48" s="27">
        <v>22</v>
      </c>
      <c r="J48" s="3"/>
      <c r="K48" s="3"/>
      <c r="L48" s="3"/>
      <c r="M48" s="3"/>
      <c r="N48" s="22">
        <v>1989</v>
      </c>
      <c r="O48" s="3"/>
      <c r="P48" s="22">
        <v>52.86</v>
      </c>
      <c r="Q48" s="22">
        <v>18</v>
      </c>
      <c r="R48" s="3"/>
    </row>
    <row r="49" spans="1:18" ht="15" customHeight="1" x14ac:dyDescent="0.2">
      <c r="A49" s="3"/>
      <c r="B49" s="3"/>
      <c r="C49" s="22">
        <v>1990</v>
      </c>
      <c r="D49" s="22">
        <v>1990</v>
      </c>
      <c r="E49" s="23"/>
      <c r="F49" s="24">
        <v>3</v>
      </c>
      <c r="G49" s="25">
        <v>-1</v>
      </c>
      <c r="H49" s="26">
        <v>-4</v>
      </c>
      <c r="I49" s="27">
        <v>18</v>
      </c>
      <c r="J49" s="22">
        <f>SUM(F49:F58)/10</f>
        <v>0</v>
      </c>
      <c r="K49" s="22">
        <f>SUM(G49:G58)/10</f>
        <v>-3.8</v>
      </c>
      <c r="L49" s="22">
        <f>SUM(H49:H58)/10</f>
        <v>-7.4</v>
      </c>
      <c r="M49" s="3"/>
      <c r="N49" s="22">
        <v>1990</v>
      </c>
      <c r="O49" s="3"/>
      <c r="P49" s="22">
        <v>1422.4</v>
      </c>
      <c r="Q49" s="22">
        <v>19</v>
      </c>
      <c r="R49" s="22">
        <v>7</v>
      </c>
    </row>
    <row r="50" spans="1:18" ht="15" customHeight="1" x14ac:dyDescent="0.2">
      <c r="A50" s="3"/>
      <c r="B50" s="3"/>
      <c r="C50" s="3"/>
      <c r="D50" s="22">
        <v>1991</v>
      </c>
      <c r="E50" s="23"/>
      <c r="F50" s="24">
        <v>-1</v>
      </c>
      <c r="G50" s="25">
        <v>-5</v>
      </c>
      <c r="H50" s="26">
        <v>-8</v>
      </c>
      <c r="I50" s="27">
        <v>24</v>
      </c>
      <c r="J50" s="3"/>
      <c r="K50" s="3"/>
      <c r="L50" s="3"/>
      <c r="M50" s="3"/>
      <c r="N50" s="22">
        <v>1991</v>
      </c>
      <c r="O50" s="3"/>
      <c r="P50" s="22">
        <v>124.73</v>
      </c>
      <c r="Q50" s="22">
        <v>12</v>
      </c>
      <c r="R50" s="22">
        <v>1</v>
      </c>
    </row>
    <row r="51" spans="1:18" ht="15" customHeight="1" x14ac:dyDescent="0.2">
      <c r="A51" s="3"/>
      <c r="B51" s="3"/>
      <c r="C51" s="3"/>
      <c r="D51" s="22">
        <v>1992</v>
      </c>
      <c r="E51" s="23"/>
      <c r="F51" s="24">
        <v>0</v>
      </c>
      <c r="G51" s="25">
        <v>-4</v>
      </c>
      <c r="H51" s="26">
        <v>-8</v>
      </c>
      <c r="I51" s="27">
        <v>21</v>
      </c>
      <c r="J51" s="3"/>
      <c r="K51" s="3"/>
      <c r="L51" s="3"/>
      <c r="M51" s="3"/>
      <c r="N51" s="22">
        <v>1992</v>
      </c>
      <c r="O51" s="3"/>
      <c r="P51" s="22">
        <v>76.45</v>
      </c>
      <c r="Q51" s="22">
        <v>11</v>
      </c>
      <c r="R51" s="3"/>
    </row>
    <row r="52" spans="1:18" ht="15" customHeight="1" x14ac:dyDescent="0.2">
      <c r="A52" s="3"/>
      <c r="B52" s="3"/>
      <c r="C52" s="3"/>
      <c r="D52" s="22">
        <v>1993</v>
      </c>
      <c r="E52" s="23"/>
      <c r="F52" s="24">
        <v>0</v>
      </c>
      <c r="G52" s="25">
        <v>-3</v>
      </c>
      <c r="H52" s="26">
        <v>-7</v>
      </c>
      <c r="I52" s="27">
        <v>25</v>
      </c>
      <c r="J52" s="3"/>
      <c r="K52" s="3"/>
      <c r="L52" s="3"/>
      <c r="M52" s="3"/>
      <c r="N52" s="22">
        <v>1993</v>
      </c>
      <c r="O52" s="3"/>
      <c r="P52" s="22">
        <v>68.31</v>
      </c>
      <c r="Q52" s="22">
        <v>11</v>
      </c>
      <c r="R52" s="3"/>
    </row>
    <row r="53" spans="1:18" ht="15" customHeight="1" x14ac:dyDescent="0.2">
      <c r="A53" s="3"/>
      <c r="B53" s="3"/>
      <c r="C53" s="3"/>
      <c r="D53" s="22">
        <v>1994</v>
      </c>
      <c r="E53" s="23"/>
      <c r="F53" s="24">
        <v>-4</v>
      </c>
      <c r="G53" s="25">
        <v>-9</v>
      </c>
      <c r="H53" s="26">
        <v>-13</v>
      </c>
      <c r="I53" s="27">
        <v>29</v>
      </c>
      <c r="J53" s="3"/>
      <c r="K53" s="3"/>
      <c r="L53" s="3"/>
      <c r="M53" s="3"/>
      <c r="N53" s="22">
        <v>1994</v>
      </c>
      <c r="O53" s="3"/>
      <c r="P53" s="22">
        <v>126</v>
      </c>
      <c r="Q53" s="22">
        <v>16</v>
      </c>
      <c r="R53" s="3"/>
    </row>
    <row r="54" spans="1:18" ht="15" customHeight="1" x14ac:dyDescent="0.2">
      <c r="A54" s="3"/>
      <c r="B54" s="3"/>
      <c r="C54" s="3"/>
      <c r="D54" s="22">
        <v>1995</v>
      </c>
      <c r="E54" s="23"/>
      <c r="F54" s="24">
        <v>2</v>
      </c>
      <c r="G54" s="25">
        <v>-1</v>
      </c>
      <c r="H54" s="26">
        <v>-5</v>
      </c>
      <c r="I54" s="27">
        <v>20</v>
      </c>
      <c r="J54" s="3"/>
      <c r="K54" s="3"/>
      <c r="L54" s="3"/>
      <c r="M54" s="3"/>
      <c r="N54" s="22">
        <v>1995</v>
      </c>
      <c r="O54" s="3"/>
      <c r="P54" s="22">
        <v>139.43</v>
      </c>
      <c r="Q54" s="22">
        <v>29</v>
      </c>
      <c r="R54" s="3"/>
    </row>
    <row r="55" spans="1:18" ht="15" customHeight="1" x14ac:dyDescent="0.2">
      <c r="A55" s="3"/>
      <c r="B55" s="3"/>
      <c r="C55" s="3"/>
      <c r="D55" s="22">
        <v>1996</v>
      </c>
      <c r="E55" s="23"/>
      <c r="F55" s="24">
        <v>-1</v>
      </c>
      <c r="G55" s="25">
        <v>-5</v>
      </c>
      <c r="H55" s="26">
        <v>-8</v>
      </c>
      <c r="I55" s="27">
        <v>26</v>
      </c>
      <c r="J55" s="3"/>
      <c r="K55" s="3"/>
      <c r="L55" s="3"/>
      <c r="M55" s="3"/>
      <c r="N55" s="22">
        <v>1996</v>
      </c>
      <c r="O55" s="3"/>
      <c r="P55" s="22">
        <v>283.72000000000003</v>
      </c>
      <c r="Q55" s="22">
        <v>26</v>
      </c>
      <c r="R55" s="3"/>
    </row>
    <row r="56" spans="1:18" ht="15" customHeight="1" x14ac:dyDescent="0.2">
      <c r="A56" s="3"/>
      <c r="B56" s="3"/>
      <c r="C56" s="3"/>
      <c r="D56" s="22">
        <v>1997</v>
      </c>
      <c r="E56" s="23"/>
      <c r="F56" s="24">
        <v>-1</v>
      </c>
      <c r="G56" s="25">
        <v>-5</v>
      </c>
      <c r="H56" s="26">
        <v>-9</v>
      </c>
      <c r="I56" s="27">
        <v>25</v>
      </c>
      <c r="J56" s="3"/>
      <c r="K56" s="3"/>
      <c r="L56" s="3"/>
      <c r="M56" s="3"/>
      <c r="N56" s="22">
        <v>1997</v>
      </c>
      <c r="O56" s="3"/>
      <c r="P56" s="22">
        <v>77.959999999999994</v>
      </c>
      <c r="Q56" s="22">
        <v>14</v>
      </c>
      <c r="R56" s="3"/>
    </row>
    <row r="57" spans="1:18" ht="15" customHeight="1" x14ac:dyDescent="0.2">
      <c r="A57" s="3"/>
      <c r="B57" s="3"/>
      <c r="C57" s="3"/>
      <c r="D57" s="22">
        <v>1998</v>
      </c>
      <c r="E57" s="23"/>
      <c r="F57" s="24">
        <v>1</v>
      </c>
      <c r="G57" s="25">
        <v>-2</v>
      </c>
      <c r="H57" s="26">
        <v>-4</v>
      </c>
      <c r="I57" s="27">
        <v>22</v>
      </c>
      <c r="J57" s="3"/>
      <c r="K57" s="3"/>
      <c r="L57" s="3"/>
      <c r="M57" s="3"/>
      <c r="N57" s="22">
        <v>1998</v>
      </c>
      <c r="O57" s="3"/>
      <c r="P57" s="22">
        <v>114.8</v>
      </c>
      <c r="Q57" s="22">
        <v>14</v>
      </c>
      <c r="R57" s="3"/>
    </row>
    <row r="58" spans="1:18" ht="15" customHeight="1" x14ac:dyDescent="0.2">
      <c r="A58" s="3"/>
      <c r="B58" s="3"/>
      <c r="C58" s="3"/>
      <c r="D58" s="22">
        <v>1999</v>
      </c>
      <c r="E58" s="23"/>
      <c r="F58" s="24">
        <v>1</v>
      </c>
      <c r="G58" s="25">
        <v>-3</v>
      </c>
      <c r="H58" s="26">
        <v>-8</v>
      </c>
      <c r="I58" s="27">
        <v>24</v>
      </c>
      <c r="J58" s="3"/>
      <c r="K58" s="3"/>
      <c r="L58" s="3"/>
      <c r="M58" s="3"/>
      <c r="N58" s="22">
        <v>1999</v>
      </c>
      <c r="O58" s="3"/>
      <c r="P58" s="22">
        <v>151.88</v>
      </c>
      <c r="Q58" s="22">
        <v>15</v>
      </c>
      <c r="R58" s="3"/>
    </row>
    <row r="59" spans="1:18" ht="15" customHeight="1" x14ac:dyDescent="0.2">
      <c r="A59" s="3"/>
      <c r="B59" s="3"/>
      <c r="C59" s="22">
        <v>2000</v>
      </c>
      <c r="D59" s="22">
        <v>2000</v>
      </c>
      <c r="E59" s="23"/>
      <c r="F59" s="24">
        <v>-1</v>
      </c>
      <c r="G59" s="25">
        <v>-5</v>
      </c>
      <c r="H59" s="26">
        <v>-9</v>
      </c>
      <c r="I59" s="27">
        <v>23</v>
      </c>
      <c r="J59" s="22">
        <f>SUM(F59:F68)/10</f>
        <v>-0.5</v>
      </c>
      <c r="K59" s="22">
        <f>SUM(G59:G68)/10</f>
        <v>-4.2</v>
      </c>
      <c r="L59" s="22">
        <f>SUM(H59:H68)/10</f>
        <v>-8</v>
      </c>
      <c r="M59" s="3"/>
      <c r="N59" s="22">
        <v>2000</v>
      </c>
      <c r="O59" s="3"/>
      <c r="P59" s="22">
        <v>77.48</v>
      </c>
      <c r="Q59" s="22">
        <v>11</v>
      </c>
      <c r="R59" s="3"/>
    </row>
    <row r="60" spans="1:18" ht="15" customHeight="1" x14ac:dyDescent="0.2">
      <c r="A60" s="3"/>
      <c r="B60" s="3"/>
      <c r="C60" s="3"/>
      <c r="D60" s="22">
        <v>2001</v>
      </c>
      <c r="E60" s="23"/>
      <c r="F60" s="24">
        <v>0</v>
      </c>
      <c r="G60" s="25">
        <v>-4</v>
      </c>
      <c r="H60" s="26">
        <v>-8</v>
      </c>
      <c r="I60" s="27">
        <v>30</v>
      </c>
      <c r="J60" s="3"/>
      <c r="K60" s="3"/>
      <c r="L60" s="3"/>
      <c r="M60" s="3"/>
      <c r="N60" s="22">
        <v>2001</v>
      </c>
      <c r="O60" s="3"/>
      <c r="P60" s="22">
        <v>41.67</v>
      </c>
      <c r="Q60" s="22">
        <v>11</v>
      </c>
      <c r="R60" s="3"/>
    </row>
    <row r="61" spans="1:18" ht="15" customHeight="1" x14ac:dyDescent="0.2">
      <c r="A61" s="3"/>
      <c r="B61" s="3"/>
      <c r="C61" s="3"/>
      <c r="D61" s="22">
        <v>2002</v>
      </c>
      <c r="E61" s="23"/>
      <c r="F61" s="24">
        <v>3</v>
      </c>
      <c r="G61" s="25">
        <v>0</v>
      </c>
      <c r="H61" s="26">
        <v>-3</v>
      </c>
      <c r="I61" s="27">
        <v>19</v>
      </c>
      <c r="J61" s="3"/>
      <c r="K61" s="3"/>
      <c r="L61" s="3"/>
      <c r="M61" s="3"/>
      <c r="N61" s="22">
        <v>2002</v>
      </c>
      <c r="O61" s="3"/>
      <c r="P61" s="22">
        <v>59.94</v>
      </c>
      <c r="Q61" s="22">
        <v>13</v>
      </c>
      <c r="R61" s="3"/>
    </row>
    <row r="62" spans="1:18" ht="15" customHeight="1" x14ac:dyDescent="0.2">
      <c r="A62" s="3"/>
      <c r="B62" s="3"/>
      <c r="C62" s="3"/>
      <c r="D62" s="22">
        <v>2003</v>
      </c>
      <c r="E62" s="23"/>
      <c r="F62" s="24">
        <v>-4</v>
      </c>
      <c r="G62" s="25">
        <v>-8</v>
      </c>
      <c r="H62" s="26">
        <v>-11</v>
      </c>
      <c r="I62" s="27">
        <v>29</v>
      </c>
      <c r="J62" s="3"/>
      <c r="K62" s="3"/>
      <c r="L62" s="3"/>
      <c r="M62" s="3"/>
      <c r="N62" s="22">
        <v>2003</v>
      </c>
      <c r="O62" s="3"/>
      <c r="P62" s="22">
        <v>42.92</v>
      </c>
      <c r="Q62" s="22">
        <v>9</v>
      </c>
      <c r="R62" s="3"/>
    </row>
    <row r="63" spans="1:18" ht="15" customHeight="1" x14ac:dyDescent="0.2">
      <c r="A63" s="3"/>
      <c r="B63" s="3"/>
      <c r="C63" s="3"/>
      <c r="D63" s="22">
        <v>2004</v>
      </c>
      <c r="E63" s="23"/>
      <c r="F63" s="24">
        <v>-6</v>
      </c>
      <c r="G63" s="25">
        <v>-9</v>
      </c>
      <c r="H63" s="26">
        <v>-13</v>
      </c>
      <c r="I63" s="27">
        <v>28</v>
      </c>
      <c r="J63" s="3"/>
      <c r="K63" s="3"/>
      <c r="L63" s="3"/>
      <c r="M63" s="3"/>
      <c r="N63" s="22">
        <v>2004</v>
      </c>
      <c r="O63" s="3"/>
      <c r="P63" s="22">
        <v>21.6</v>
      </c>
      <c r="Q63" s="22">
        <v>7</v>
      </c>
      <c r="R63" s="3"/>
    </row>
    <row r="64" spans="1:18" ht="15" customHeight="1" x14ac:dyDescent="0.2">
      <c r="A64" s="3"/>
      <c r="B64" s="3"/>
      <c r="C64" s="3"/>
      <c r="D64" s="22">
        <v>2005</v>
      </c>
      <c r="E64" s="23"/>
      <c r="F64" s="24">
        <v>-2</v>
      </c>
      <c r="G64" s="25">
        <v>-5</v>
      </c>
      <c r="H64" s="26">
        <v>-9</v>
      </c>
      <c r="I64" s="27">
        <v>26</v>
      </c>
      <c r="J64" s="3"/>
      <c r="K64" s="3"/>
      <c r="L64" s="3"/>
      <c r="M64" s="3"/>
      <c r="N64" s="22">
        <v>2005</v>
      </c>
      <c r="O64" s="3"/>
      <c r="P64" s="22">
        <v>135.37</v>
      </c>
      <c r="Q64" s="22">
        <v>20</v>
      </c>
      <c r="R64" s="3"/>
    </row>
    <row r="65" spans="1:18" ht="15" customHeight="1" x14ac:dyDescent="0.2">
      <c r="A65" s="3"/>
      <c r="B65" s="3"/>
      <c r="C65" s="3"/>
      <c r="D65" s="22">
        <v>2006</v>
      </c>
      <c r="E65" s="23"/>
      <c r="F65" s="24">
        <v>4</v>
      </c>
      <c r="G65" s="25">
        <v>0</v>
      </c>
      <c r="H65" s="26">
        <v>-4</v>
      </c>
      <c r="I65" s="27">
        <v>16</v>
      </c>
      <c r="J65" s="3"/>
      <c r="K65" s="3"/>
      <c r="L65" s="3"/>
      <c r="M65" s="3"/>
      <c r="N65" s="22">
        <v>2006</v>
      </c>
      <c r="O65" s="3"/>
      <c r="P65" s="22">
        <v>134.1</v>
      </c>
      <c r="Q65" s="22">
        <v>15</v>
      </c>
      <c r="R65" s="3"/>
    </row>
    <row r="66" spans="1:18" ht="15" customHeight="1" x14ac:dyDescent="0.2">
      <c r="A66" s="3"/>
      <c r="B66" s="3"/>
      <c r="C66" s="3"/>
      <c r="D66" s="22">
        <v>2007</v>
      </c>
      <c r="E66" s="23"/>
      <c r="F66" s="24">
        <v>2</v>
      </c>
      <c r="G66" s="25">
        <v>-2</v>
      </c>
      <c r="H66" s="26">
        <v>-6</v>
      </c>
      <c r="I66" s="27">
        <v>19</v>
      </c>
      <c r="J66" s="3"/>
      <c r="K66" s="3"/>
      <c r="L66" s="3"/>
      <c r="M66" s="3"/>
      <c r="N66" s="22">
        <v>2007</v>
      </c>
      <c r="O66" s="3"/>
      <c r="P66" s="22">
        <v>79</v>
      </c>
      <c r="Q66" s="22">
        <v>13</v>
      </c>
      <c r="R66" s="3"/>
    </row>
    <row r="67" spans="1:18" ht="15" customHeight="1" x14ac:dyDescent="0.2">
      <c r="A67" s="3"/>
      <c r="B67" s="3"/>
      <c r="C67" s="3"/>
      <c r="D67" s="22">
        <v>2008</v>
      </c>
      <c r="E67" s="23"/>
      <c r="F67" s="24">
        <v>2</v>
      </c>
      <c r="G67" s="25">
        <v>-2</v>
      </c>
      <c r="H67" s="26">
        <v>-6</v>
      </c>
      <c r="I67" s="27">
        <v>20</v>
      </c>
      <c r="J67" s="3"/>
      <c r="K67" s="3"/>
      <c r="L67" s="3"/>
      <c r="M67" s="3"/>
      <c r="N67" s="22">
        <v>2008</v>
      </c>
      <c r="O67" s="3"/>
      <c r="P67" s="22">
        <v>62.23</v>
      </c>
      <c r="Q67" s="22">
        <v>8</v>
      </c>
      <c r="R67" s="3"/>
    </row>
    <row r="68" spans="1:18" ht="15" customHeight="1" x14ac:dyDescent="0.2">
      <c r="A68" s="3"/>
      <c r="B68" s="3"/>
      <c r="C68" s="3"/>
      <c r="D68" s="22">
        <v>2009</v>
      </c>
      <c r="E68" s="23"/>
      <c r="F68" s="24">
        <v>-3</v>
      </c>
      <c r="G68" s="25">
        <v>-7</v>
      </c>
      <c r="H68" s="26">
        <v>-11</v>
      </c>
      <c r="I68" s="27">
        <v>31</v>
      </c>
      <c r="J68" s="3"/>
      <c r="K68" s="3"/>
      <c r="L68" s="3"/>
      <c r="M68" s="3"/>
      <c r="N68" s="22">
        <v>2009</v>
      </c>
      <c r="O68" s="3"/>
      <c r="P68" s="22">
        <v>88.66</v>
      </c>
      <c r="Q68" s="22">
        <v>10</v>
      </c>
      <c r="R68" s="3"/>
    </row>
    <row r="69" spans="1:18" ht="15" customHeight="1" x14ac:dyDescent="0.2">
      <c r="A69" s="3"/>
      <c r="B69" s="3"/>
      <c r="C69" s="22">
        <v>2010</v>
      </c>
      <c r="D69" s="22">
        <v>2010</v>
      </c>
      <c r="E69" s="23"/>
      <c r="F69" s="24">
        <v>-1</v>
      </c>
      <c r="G69" s="25">
        <v>-4</v>
      </c>
      <c r="H69" s="26">
        <v>-8</v>
      </c>
      <c r="I69" s="27">
        <v>27</v>
      </c>
      <c r="J69" s="22">
        <f>SUM(F69:F78)/8</f>
        <v>0.125</v>
      </c>
      <c r="K69" s="22">
        <f>SUM(G69:G78)/8</f>
        <v>-4.125</v>
      </c>
      <c r="L69" s="22">
        <f>SUM(H69:H78)/8</f>
        <v>-8.75</v>
      </c>
      <c r="M69" s="3"/>
      <c r="N69" s="22">
        <v>2010</v>
      </c>
      <c r="O69" s="3"/>
      <c r="P69" s="22">
        <v>83.57</v>
      </c>
      <c r="Q69" s="22">
        <v>9</v>
      </c>
      <c r="R69" s="3"/>
    </row>
    <row r="70" spans="1:18" ht="15" customHeight="1" x14ac:dyDescent="0.2">
      <c r="A70" s="3"/>
      <c r="B70" s="3"/>
      <c r="C70" s="3"/>
      <c r="D70" s="22">
        <v>2011</v>
      </c>
      <c r="E70" s="23"/>
      <c r="F70" s="24">
        <v>-2</v>
      </c>
      <c r="G70" s="25">
        <v>-5</v>
      </c>
      <c r="H70" s="26">
        <v>-9</v>
      </c>
      <c r="I70" s="27">
        <v>29</v>
      </c>
      <c r="J70" s="3"/>
      <c r="K70" s="3"/>
      <c r="L70" s="3"/>
      <c r="M70" s="3"/>
      <c r="N70" s="22">
        <v>2011</v>
      </c>
      <c r="O70" s="3"/>
      <c r="P70" s="22">
        <v>104.12</v>
      </c>
      <c r="Q70" s="22">
        <v>10</v>
      </c>
      <c r="R70" s="3"/>
    </row>
    <row r="71" spans="1:18" ht="15" customHeight="1" x14ac:dyDescent="0.2">
      <c r="A71" s="3"/>
      <c r="B71" s="3"/>
      <c r="C71" s="3"/>
      <c r="D71" s="22">
        <v>2012</v>
      </c>
      <c r="E71" s="23"/>
      <c r="F71" s="24">
        <v>3</v>
      </c>
      <c r="G71" s="25">
        <v>-1</v>
      </c>
      <c r="H71" s="26">
        <v>-6</v>
      </c>
      <c r="I71" s="27">
        <v>16</v>
      </c>
      <c r="J71" s="3"/>
      <c r="K71" s="3"/>
      <c r="L71" s="3"/>
      <c r="M71" s="3"/>
      <c r="N71" s="22">
        <v>2012</v>
      </c>
      <c r="O71" s="3"/>
      <c r="P71" s="22">
        <v>76.959999999999994</v>
      </c>
      <c r="Q71" s="22">
        <v>14</v>
      </c>
      <c r="R71" s="3"/>
    </row>
    <row r="72" spans="1:18" ht="15" customHeight="1" x14ac:dyDescent="0.2">
      <c r="A72" s="3"/>
      <c r="B72" s="3"/>
      <c r="C72" s="3"/>
      <c r="D72" s="22">
        <v>2013</v>
      </c>
      <c r="E72" s="23"/>
      <c r="F72" s="24">
        <v>1</v>
      </c>
      <c r="G72" s="25">
        <v>-3</v>
      </c>
      <c r="H72" s="26">
        <v>-7</v>
      </c>
      <c r="I72" s="27">
        <v>22</v>
      </c>
      <c r="J72" s="3"/>
      <c r="K72" s="3"/>
      <c r="L72" s="3"/>
      <c r="M72" s="3"/>
      <c r="N72" s="22">
        <v>2013</v>
      </c>
      <c r="O72" s="3"/>
      <c r="P72" s="22">
        <v>49.51</v>
      </c>
      <c r="Q72" s="22">
        <v>12</v>
      </c>
      <c r="R72" s="3"/>
    </row>
    <row r="73" spans="1:18" ht="15" customHeight="1" x14ac:dyDescent="0.2">
      <c r="A73" s="3"/>
      <c r="B73" s="3"/>
      <c r="C73" s="3"/>
      <c r="D73" s="22">
        <v>2014</v>
      </c>
      <c r="E73" s="23"/>
      <c r="F73" s="24">
        <v>-1</v>
      </c>
      <c r="G73" s="25">
        <v>-6</v>
      </c>
      <c r="H73" s="26">
        <v>-10</v>
      </c>
      <c r="I73" s="27">
        <v>23</v>
      </c>
      <c r="J73" s="3"/>
      <c r="K73" s="3"/>
      <c r="L73" s="3"/>
      <c r="M73" s="3"/>
      <c r="N73" s="22">
        <v>2014</v>
      </c>
      <c r="O73" s="3"/>
      <c r="P73" s="22">
        <v>78.98</v>
      </c>
      <c r="Q73" s="22">
        <v>15</v>
      </c>
      <c r="R73" s="3"/>
    </row>
    <row r="74" spans="1:18" ht="15" customHeight="1" x14ac:dyDescent="0.2">
      <c r="A74" s="3"/>
      <c r="B74" s="3"/>
      <c r="C74" s="3"/>
      <c r="D74" s="22">
        <v>2015</v>
      </c>
      <c r="E74" s="23"/>
      <c r="F74" s="24">
        <v>-2</v>
      </c>
      <c r="G74" s="25">
        <v>-6</v>
      </c>
      <c r="H74" s="26">
        <v>-10</v>
      </c>
      <c r="I74" s="27">
        <v>29</v>
      </c>
      <c r="J74" s="3"/>
      <c r="K74" s="3"/>
      <c r="L74" s="3"/>
      <c r="M74" s="3"/>
      <c r="N74" s="22">
        <v>2015</v>
      </c>
      <c r="O74" s="3"/>
      <c r="P74" s="22">
        <v>92.44</v>
      </c>
      <c r="Q74" s="22">
        <v>10</v>
      </c>
      <c r="R74" s="3"/>
    </row>
    <row r="75" spans="1:18" ht="15" customHeight="1" x14ac:dyDescent="0.2">
      <c r="A75" s="3"/>
      <c r="B75" s="3"/>
      <c r="C75" s="3"/>
      <c r="D75" s="22">
        <v>2016</v>
      </c>
      <c r="E75" s="23"/>
      <c r="F75" s="24">
        <v>1</v>
      </c>
      <c r="G75" s="25">
        <v>-3</v>
      </c>
      <c r="H75" s="26">
        <v>-7</v>
      </c>
      <c r="I75" s="27">
        <v>25</v>
      </c>
      <c r="J75" s="3"/>
      <c r="K75" s="3"/>
      <c r="L75" s="3"/>
      <c r="M75" s="3"/>
      <c r="N75" s="22">
        <v>2016</v>
      </c>
      <c r="O75" s="3"/>
      <c r="P75" s="22">
        <v>53.85</v>
      </c>
      <c r="Q75" s="22">
        <v>7</v>
      </c>
      <c r="R75" s="3"/>
    </row>
    <row r="76" spans="1:18" ht="15" customHeight="1" x14ac:dyDescent="0.2">
      <c r="A76" s="3"/>
      <c r="B76" s="3"/>
      <c r="C76" s="3"/>
      <c r="D76" s="22">
        <v>2017</v>
      </c>
      <c r="E76" s="23"/>
      <c r="F76" s="24">
        <v>2</v>
      </c>
      <c r="G76" s="25">
        <v>-1</v>
      </c>
      <c r="H76" s="26">
        <v>-4</v>
      </c>
      <c r="I76" s="27">
        <v>19</v>
      </c>
      <c r="J76" s="3"/>
      <c r="K76" s="3"/>
      <c r="L76" s="3"/>
      <c r="M76" s="3"/>
      <c r="N76" s="22">
        <v>2017</v>
      </c>
      <c r="O76" s="3"/>
      <c r="P76" s="22">
        <v>110.74</v>
      </c>
      <c r="Q76" s="22">
        <v>18</v>
      </c>
      <c r="R76" s="3"/>
    </row>
    <row r="77" spans="1:18" ht="15" customHeight="1" x14ac:dyDescent="0.2">
      <c r="A77" s="3"/>
      <c r="B77" s="3"/>
      <c r="C77" s="3"/>
      <c r="D77" s="22">
        <v>2018</v>
      </c>
      <c r="E77" s="23"/>
      <c r="F77" s="33">
        <v>0</v>
      </c>
      <c r="G77" s="34">
        <v>-4</v>
      </c>
      <c r="H77" s="35">
        <v>-9</v>
      </c>
      <c r="I77" s="27">
        <v>22</v>
      </c>
      <c r="J77" s="3"/>
      <c r="K77" s="3"/>
      <c r="L77" s="3"/>
      <c r="M77" s="3"/>
      <c r="N77" s="22">
        <v>2018</v>
      </c>
      <c r="O77" s="3"/>
      <c r="P77" s="22">
        <v>91.94</v>
      </c>
      <c r="Q77" s="22">
        <v>9</v>
      </c>
      <c r="R77" s="3"/>
    </row>
    <row r="78" spans="1:18" ht="15" customHeight="1" x14ac:dyDescent="0.2">
      <c r="A78" s="3"/>
      <c r="B78" s="3"/>
      <c r="C78" s="3"/>
      <c r="D78" s="3"/>
      <c r="E78" s="3"/>
      <c r="F78" s="36"/>
      <c r="G78" s="36"/>
      <c r="H78" s="36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spans="1:18" ht="1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spans="1:18" ht="1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1:18" ht="15" customHeight="1" x14ac:dyDescent="0.2">
      <c r="A81" s="3"/>
      <c r="B81" s="3"/>
      <c r="C81" s="3"/>
      <c r="D81" s="4" t="s">
        <v>25</v>
      </c>
      <c r="E81" s="3"/>
      <c r="F81" s="3"/>
      <c r="G81" s="3"/>
      <c r="H81" s="3"/>
      <c r="I81" s="3"/>
      <c r="J81" s="3"/>
      <c r="K81" s="3"/>
      <c r="L81" s="3"/>
      <c r="M81" s="3"/>
      <c r="N81" s="4" t="s">
        <v>25</v>
      </c>
      <c r="O81" s="3"/>
      <c r="P81" s="3"/>
      <c r="Q81" s="3"/>
      <c r="R81" s="3"/>
    </row>
    <row r="82" spans="1:18" ht="1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1:18" ht="15" customHeight="1" x14ac:dyDescent="0.2">
      <c r="A83" s="3"/>
      <c r="B83" s="3"/>
      <c r="C83" s="3"/>
      <c r="D83" s="37" t="s">
        <v>26</v>
      </c>
      <c r="E83" s="3"/>
      <c r="F83" s="22">
        <f>COUNT(F9:F77)</f>
        <v>68</v>
      </c>
      <c r="G83" s="22">
        <f>COUNT(G9:G77)</f>
        <v>68</v>
      </c>
      <c r="H83" s="22">
        <f>COUNT(H9:H77)</f>
        <v>68</v>
      </c>
      <c r="I83" s="3"/>
      <c r="J83" s="3"/>
      <c r="K83" s="3"/>
      <c r="L83" s="3"/>
      <c r="M83" s="3"/>
      <c r="N83" s="37" t="s">
        <v>26</v>
      </c>
      <c r="O83" s="3"/>
      <c r="P83" s="22">
        <f>COUNT(P9:P77)</f>
        <v>61</v>
      </c>
      <c r="Q83" s="22">
        <f>COUNT(Q9:Q77)</f>
        <v>61</v>
      </c>
      <c r="R83" s="22">
        <f>COUNT(R9:R77)</f>
        <v>3</v>
      </c>
    </row>
    <row r="84" spans="1:18" ht="15" customHeight="1" x14ac:dyDescent="0.2">
      <c r="A84" s="3"/>
      <c r="B84" s="3"/>
      <c r="C84" s="3"/>
      <c r="D84" s="37" t="s">
        <v>11</v>
      </c>
      <c r="E84" s="3"/>
      <c r="F84" s="38">
        <f>AVERAGE(F9:F77)</f>
        <v>-0.51470588235294112</v>
      </c>
      <c r="G84" s="38">
        <f>AVERAGE(G9:G77)</f>
        <v>-4.367647058823529</v>
      </c>
      <c r="H84" s="38">
        <f>AVERAGE(H9:H77)</f>
        <v>-8.235294117647058</v>
      </c>
      <c r="I84" s="3"/>
      <c r="J84" s="3"/>
      <c r="K84" s="3"/>
      <c r="L84" s="3"/>
      <c r="M84" s="3"/>
      <c r="N84" s="37" t="s">
        <v>11</v>
      </c>
      <c r="O84" s="3"/>
      <c r="P84" s="38">
        <f>AVERAGE(P9:P77)</f>
        <v>113.71688524590164</v>
      </c>
      <c r="Q84" s="38">
        <f>AVERAGE(Q9:Q77)</f>
        <v>12.737704918032787</v>
      </c>
      <c r="R84" s="38">
        <f>AVERAGE(R9:R77)</f>
        <v>3</v>
      </c>
    </row>
    <row r="85" spans="1:18" ht="15" customHeight="1" x14ac:dyDescent="0.2">
      <c r="A85" s="3"/>
      <c r="B85" s="3"/>
      <c r="C85" s="3"/>
      <c r="D85" s="37" t="s">
        <v>27</v>
      </c>
      <c r="E85" s="3"/>
      <c r="F85" s="38">
        <f>STDEV(F9:F77)</f>
        <v>2.4524897313450551</v>
      </c>
      <c r="G85" s="38">
        <f>STDEV(G9:G77)</f>
        <v>2.4428049192625489</v>
      </c>
      <c r="H85" s="38">
        <f>STDEV(H9:H77)</f>
        <v>2.5044297891775886</v>
      </c>
      <c r="I85" s="3"/>
      <c r="J85" s="3"/>
      <c r="K85" s="3"/>
      <c r="L85" s="3"/>
      <c r="M85" s="3"/>
      <c r="N85" s="37" t="s">
        <v>27</v>
      </c>
      <c r="O85" s="3"/>
      <c r="P85" s="38">
        <f>STDEV(P9:P77)</f>
        <v>183.36360800825034</v>
      </c>
      <c r="Q85" s="38">
        <f>STDEV(Q9:Q77)</f>
        <v>4.4305817501552491</v>
      </c>
      <c r="R85" s="38">
        <f>STDEV(R9:R77)</f>
        <v>3.4641016151377544</v>
      </c>
    </row>
  </sheetData>
  <hyperlinks>
    <hyperlink ref="B2" r:id="rId1" xr:uid="{00000000-0004-0000-0000-000000000000}"/>
  </hyperlinks>
  <pageMargins left="0.7" right="0.7" top="0.75" bottom="0.75" header="0.3" footer="0.3"/>
  <pageSetup orientation="portrait"/>
  <headerFooter>
    <oddFooter>&amp;C&amp;"Helvetica Neue,Regular"&amp;12&amp;K000000&amp;P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85"/>
  <sheetViews>
    <sheetView showGridLines="0" workbookViewId="0"/>
  </sheetViews>
  <sheetFormatPr baseColWidth="10" defaultColWidth="8.83203125" defaultRowHeight="15" customHeight="1" x14ac:dyDescent="0.2"/>
  <cols>
    <col min="1" max="1" width="15" style="39" customWidth="1"/>
    <col min="2" max="8" width="8.83203125" style="39" customWidth="1"/>
    <col min="9" max="9" width="28.83203125" style="39" customWidth="1"/>
    <col min="10" max="14" width="8.83203125" style="39" customWidth="1"/>
    <col min="15" max="15" width="5.83203125" style="39" customWidth="1"/>
    <col min="16" max="16" width="12.5" style="39" customWidth="1"/>
    <col min="17" max="17" width="16.33203125" style="39" customWidth="1"/>
    <col min="18" max="18" width="13.1640625" style="39" customWidth="1"/>
    <col min="19" max="256" width="8.83203125" style="39" customWidth="1"/>
  </cols>
  <sheetData>
    <row r="1" spans="1:19" ht="15" customHeight="1" x14ac:dyDescent="0.2">
      <c r="A1" s="2" t="s">
        <v>0</v>
      </c>
      <c r="B1" s="2" t="s">
        <v>1</v>
      </c>
      <c r="C1" s="3"/>
      <c r="D1" s="3"/>
      <c r="E1" s="2" t="s">
        <v>2</v>
      </c>
      <c r="F1" s="2" t="s">
        <v>28</v>
      </c>
      <c r="G1" s="3"/>
      <c r="H1" s="3"/>
      <c r="I1" s="3"/>
      <c r="J1" s="2" t="s">
        <v>4</v>
      </c>
      <c r="K1" s="3"/>
      <c r="L1" s="3"/>
      <c r="M1" s="3"/>
      <c r="N1" s="3"/>
      <c r="O1" s="3"/>
      <c r="P1" s="3"/>
      <c r="Q1" s="3"/>
      <c r="R1" s="3"/>
      <c r="S1" s="3"/>
    </row>
    <row r="2" spans="1:19" ht="15" customHeight="1" x14ac:dyDescent="0.2">
      <c r="A2" s="2" t="s">
        <v>5</v>
      </c>
      <c r="B2" s="2" t="s">
        <v>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5" customHeight="1" x14ac:dyDescent="0.2">
      <c r="A4" s="3"/>
      <c r="B4" s="3"/>
      <c r="C4" s="4" t="s">
        <v>7</v>
      </c>
      <c r="D4" s="3"/>
      <c r="E4" s="3"/>
      <c r="F4" s="3"/>
      <c r="G4" s="4" t="s">
        <v>8</v>
      </c>
      <c r="H4" s="3"/>
      <c r="I4" s="3"/>
      <c r="J4" s="3"/>
      <c r="K4" s="3"/>
      <c r="L4" s="3"/>
      <c r="M4" s="3"/>
      <c r="N4" s="3"/>
      <c r="O4" s="3"/>
      <c r="P4" s="3"/>
      <c r="Q4" s="4" t="s">
        <v>9</v>
      </c>
      <c r="R4" s="3"/>
      <c r="S4" s="3"/>
    </row>
    <row r="5" spans="1:19" ht="15" customHeight="1" x14ac:dyDescent="0.2">
      <c r="A5" s="3"/>
      <c r="B5" s="3"/>
      <c r="C5" s="3"/>
      <c r="D5" s="3"/>
      <c r="E5" s="3"/>
      <c r="F5" s="3"/>
      <c r="G5" s="3"/>
      <c r="H5" s="3"/>
      <c r="I5" s="3"/>
      <c r="J5" s="2" t="s">
        <v>10</v>
      </c>
      <c r="K5" s="2" t="s">
        <v>10</v>
      </c>
      <c r="L5" s="2" t="s">
        <v>10</v>
      </c>
      <c r="M5" s="3"/>
      <c r="N5" s="3"/>
      <c r="O5" s="3"/>
      <c r="P5" s="3"/>
      <c r="Q5" s="3"/>
      <c r="R5" s="3"/>
      <c r="S5" s="3"/>
    </row>
    <row r="6" spans="1:19" ht="15" customHeight="1" x14ac:dyDescent="0.2">
      <c r="A6" s="3"/>
      <c r="B6" s="3"/>
      <c r="C6" s="3"/>
      <c r="D6" s="3"/>
      <c r="E6" s="3"/>
      <c r="F6" s="5" t="s">
        <v>11</v>
      </c>
      <c r="G6" s="5" t="s">
        <v>11</v>
      </c>
      <c r="H6" s="5" t="s">
        <v>11</v>
      </c>
      <c r="I6" s="2" t="s">
        <v>12</v>
      </c>
      <c r="J6" s="5" t="s">
        <v>11</v>
      </c>
      <c r="K6" s="5" t="s">
        <v>11</v>
      </c>
      <c r="L6" s="5" t="s">
        <v>11</v>
      </c>
      <c r="M6" s="6"/>
      <c r="N6" s="3"/>
      <c r="O6" s="3"/>
      <c r="P6" s="5" t="s">
        <v>13</v>
      </c>
      <c r="Q6" s="5" t="s">
        <v>14</v>
      </c>
      <c r="R6" s="5" t="s">
        <v>15</v>
      </c>
      <c r="S6" s="3"/>
    </row>
    <row r="7" spans="1:19" ht="15" customHeight="1" x14ac:dyDescent="0.2">
      <c r="A7" s="7"/>
      <c r="B7" s="7"/>
      <c r="C7" s="8" t="s">
        <v>16</v>
      </c>
      <c r="D7" s="8" t="s">
        <v>17</v>
      </c>
      <c r="E7" s="7"/>
      <c r="F7" s="9" t="s">
        <v>18</v>
      </c>
      <c r="G7" s="9" t="s">
        <v>19</v>
      </c>
      <c r="H7" s="9" t="s">
        <v>20</v>
      </c>
      <c r="I7" s="9" t="s">
        <v>29</v>
      </c>
      <c r="J7" s="9" t="s">
        <v>18</v>
      </c>
      <c r="K7" s="9" t="s">
        <v>19</v>
      </c>
      <c r="L7" s="9" t="s">
        <v>20</v>
      </c>
      <c r="M7" s="10"/>
      <c r="N7" s="8" t="s">
        <v>17</v>
      </c>
      <c r="O7" s="7"/>
      <c r="P7" s="9" t="s">
        <v>30</v>
      </c>
      <c r="Q7" s="9" t="s">
        <v>23</v>
      </c>
      <c r="R7" s="9" t="s">
        <v>31</v>
      </c>
      <c r="S7" s="7"/>
    </row>
    <row r="8" spans="1:19" ht="15" customHeight="1" x14ac:dyDescent="0.2">
      <c r="A8" s="40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2"/>
    </row>
    <row r="9" spans="1:19" ht="15" customHeight="1" x14ac:dyDescent="0.2">
      <c r="A9" s="15"/>
      <c r="B9" s="15"/>
      <c r="C9" s="16">
        <v>1950</v>
      </c>
      <c r="D9" s="16">
        <v>1950</v>
      </c>
      <c r="E9" s="15"/>
      <c r="F9" s="16">
        <v>11</v>
      </c>
      <c r="G9" s="16">
        <v>6</v>
      </c>
      <c r="H9" s="16">
        <v>1</v>
      </c>
      <c r="I9" s="16">
        <v>0</v>
      </c>
      <c r="J9" s="16">
        <f>SUM(F9:F18)/8</f>
        <v>15.625</v>
      </c>
      <c r="K9" s="16">
        <f>SUM(G9:G18)/8</f>
        <v>8.875</v>
      </c>
      <c r="L9" s="16">
        <f>SUM(H9:H18)/8</f>
        <v>3.5</v>
      </c>
      <c r="M9" s="15"/>
      <c r="N9" s="16">
        <v>1950</v>
      </c>
      <c r="O9" s="15"/>
      <c r="P9" s="15"/>
      <c r="Q9" s="15"/>
      <c r="R9" s="15"/>
      <c r="S9" s="15"/>
    </row>
    <row r="10" spans="1:19" ht="15" customHeight="1" x14ac:dyDescent="0.2">
      <c r="A10" s="3"/>
      <c r="B10" s="3"/>
      <c r="C10" s="3"/>
      <c r="D10" s="22">
        <v>1951</v>
      </c>
      <c r="E10" s="3"/>
      <c r="F10" s="22">
        <v>13</v>
      </c>
      <c r="G10" s="22">
        <v>8</v>
      </c>
      <c r="H10" s="22">
        <v>3</v>
      </c>
      <c r="I10" s="22">
        <v>0</v>
      </c>
      <c r="J10" s="3"/>
      <c r="K10" s="3"/>
      <c r="L10" s="3"/>
      <c r="M10" s="3"/>
      <c r="N10" s="22">
        <v>1951</v>
      </c>
      <c r="O10" s="3"/>
      <c r="P10" s="3"/>
      <c r="Q10" s="3"/>
      <c r="R10" s="3"/>
      <c r="S10" s="3"/>
    </row>
    <row r="11" spans="1:19" ht="15" customHeight="1" x14ac:dyDescent="0.2">
      <c r="A11" s="3"/>
      <c r="B11" s="3"/>
      <c r="C11" s="3"/>
      <c r="D11" s="22">
        <v>1952</v>
      </c>
      <c r="E11" s="3"/>
      <c r="F11" s="22">
        <v>13</v>
      </c>
      <c r="G11" s="22">
        <v>9</v>
      </c>
      <c r="H11" s="22">
        <v>4</v>
      </c>
      <c r="I11" s="22">
        <v>0</v>
      </c>
      <c r="J11" s="3"/>
      <c r="K11" s="3"/>
      <c r="L11" s="3"/>
      <c r="M11" s="3"/>
      <c r="N11" s="22">
        <v>1952</v>
      </c>
      <c r="O11" s="3"/>
      <c r="P11" s="3"/>
      <c r="Q11" s="3"/>
      <c r="R11" s="3"/>
      <c r="S11" s="3"/>
    </row>
    <row r="12" spans="1:19" ht="15" customHeight="1" x14ac:dyDescent="0.2">
      <c r="A12" s="3"/>
      <c r="B12" s="3"/>
      <c r="C12" s="3"/>
      <c r="D12" s="22">
        <v>1953</v>
      </c>
      <c r="E12" s="3"/>
      <c r="F12" s="22">
        <v>11</v>
      </c>
      <c r="G12" s="22">
        <v>7</v>
      </c>
      <c r="H12" s="22">
        <v>3</v>
      </c>
      <c r="I12" s="22">
        <v>0</v>
      </c>
      <c r="J12" s="3"/>
      <c r="K12" s="3"/>
      <c r="L12" s="3"/>
      <c r="M12" s="3"/>
      <c r="N12" s="22">
        <v>1953</v>
      </c>
      <c r="O12" s="3"/>
      <c r="P12" s="3"/>
      <c r="Q12" s="3"/>
      <c r="R12" s="3"/>
      <c r="S12" s="3"/>
    </row>
    <row r="13" spans="1:19" ht="15" customHeight="1" x14ac:dyDescent="0.2">
      <c r="A13" s="3"/>
      <c r="B13" s="3"/>
      <c r="C13" s="3"/>
      <c r="D13" s="22">
        <v>1954</v>
      </c>
      <c r="E13" s="3"/>
      <c r="F13" s="22">
        <v>14</v>
      </c>
      <c r="G13" s="22">
        <v>8</v>
      </c>
      <c r="H13" s="22">
        <v>3</v>
      </c>
      <c r="I13" s="22">
        <v>3</v>
      </c>
      <c r="J13" s="3"/>
      <c r="K13" s="3"/>
      <c r="L13" s="3"/>
      <c r="M13" s="3"/>
      <c r="N13" s="22">
        <v>1954</v>
      </c>
      <c r="O13" s="3"/>
      <c r="P13" s="3"/>
      <c r="Q13" s="3"/>
      <c r="R13" s="3"/>
      <c r="S13" s="3"/>
    </row>
    <row r="14" spans="1:19" ht="15" customHeight="1" x14ac:dyDescent="0.2">
      <c r="A14" s="3"/>
      <c r="B14" s="3"/>
      <c r="C14" s="3"/>
      <c r="D14" s="22">
        <v>1955</v>
      </c>
      <c r="E14" s="3"/>
      <c r="F14" s="22">
        <v>13</v>
      </c>
      <c r="G14" s="22">
        <v>4</v>
      </c>
      <c r="H14" s="22">
        <v>4</v>
      </c>
      <c r="I14" s="22">
        <v>0</v>
      </c>
      <c r="J14" s="3"/>
      <c r="K14" s="3"/>
      <c r="L14" s="3"/>
      <c r="M14" s="3"/>
      <c r="N14" s="22">
        <v>1955</v>
      </c>
      <c r="O14" s="3"/>
      <c r="P14" s="3"/>
      <c r="Q14" s="3"/>
      <c r="R14" s="3"/>
      <c r="S14" s="3"/>
    </row>
    <row r="15" spans="1:19" ht="15" customHeight="1" x14ac:dyDescent="0.2">
      <c r="A15" s="3"/>
      <c r="B15" s="3"/>
      <c r="C15" s="3"/>
      <c r="D15" s="22">
        <v>1956</v>
      </c>
      <c r="E15" s="3"/>
      <c r="F15" s="22">
        <v>9</v>
      </c>
      <c r="G15" s="22">
        <v>4</v>
      </c>
      <c r="H15" s="22">
        <v>0</v>
      </c>
      <c r="I15" s="22">
        <v>0</v>
      </c>
      <c r="J15" s="3"/>
      <c r="K15" s="3"/>
      <c r="L15" s="3"/>
      <c r="M15" s="3"/>
      <c r="N15" s="22">
        <v>1956</v>
      </c>
      <c r="O15" s="3"/>
      <c r="P15" s="3"/>
      <c r="Q15" s="3"/>
      <c r="R15" s="3"/>
      <c r="S15" s="3"/>
    </row>
    <row r="16" spans="1:19" ht="15" customHeight="1" x14ac:dyDescent="0.2">
      <c r="A16" s="3"/>
      <c r="B16" s="3"/>
      <c r="C16" s="3"/>
      <c r="D16" s="22">
        <v>1957</v>
      </c>
      <c r="E16" s="3"/>
      <c r="F16" s="22">
        <v>14</v>
      </c>
      <c r="G16" s="22">
        <v>9</v>
      </c>
      <c r="H16" s="22">
        <v>3</v>
      </c>
      <c r="I16" s="22">
        <v>1</v>
      </c>
      <c r="J16" s="3"/>
      <c r="K16" s="3"/>
      <c r="L16" s="3"/>
      <c r="M16" s="3"/>
      <c r="N16" s="22">
        <v>1957</v>
      </c>
      <c r="O16" s="3"/>
      <c r="P16" s="22">
        <v>61.45</v>
      </c>
      <c r="Q16" s="22">
        <v>9</v>
      </c>
      <c r="R16" s="22">
        <v>0</v>
      </c>
      <c r="S16" s="3"/>
    </row>
    <row r="17" spans="1:19" ht="15" customHeight="1" x14ac:dyDescent="0.2">
      <c r="A17" s="3"/>
      <c r="B17" s="3"/>
      <c r="C17" s="3"/>
      <c r="D17" s="22">
        <v>1958</v>
      </c>
      <c r="E17" s="3"/>
      <c r="F17" s="22">
        <v>13</v>
      </c>
      <c r="G17" s="22">
        <v>8</v>
      </c>
      <c r="H17" s="22">
        <v>4</v>
      </c>
      <c r="I17" s="22">
        <v>0</v>
      </c>
      <c r="J17" s="3"/>
      <c r="K17" s="3"/>
      <c r="L17" s="3"/>
      <c r="M17" s="3"/>
      <c r="N17" s="22">
        <v>1958</v>
      </c>
      <c r="O17" s="3"/>
      <c r="P17" s="22">
        <v>166.35</v>
      </c>
      <c r="Q17" s="22">
        <v>11</v>
      </c>
      <c r="R17" s="22">
        <v>0</v>
      </c>
      <c r="S17" s="3"/>
    </row>
    <row r="18" spans="1:19" ht="15" customHeight="1" x14ac:dyDescent="0.2">
      <c r="A18" s="3"/>
      <c r="B18" s="3"/>
      <c r="C18" s="3"/>
      <c r="D18" s="22">
        <v>1959</v>
      </c>
      <c r="E18" s="3"/>
      <c r="F18" s="22">
        <v>14</v>
      </c>
      <c r="G18" s="22">
        <v>8</v>
      </c>
      <c r="H18" s="22">
        <v>3</v>
      </c>
      <c r="I18" s="22">
        <v>0</v>
      </c>
      <c r="J18" s="3"/>
      <c r="K18" s="3"/>
      <c r="L18" s="3"/>
      <c r="M18" s="3"/>
      <c r="N18" s="22">
        <v>1959</v>
      </c>
      <c r="O18" s="3"/>
      <c r="P18" s="22">
        <v>15.06</v>
      </c>
      <c r="Q18" s="22">
        <v>12</v>
      </c>
      <c r="R18" s="22">
        <v>0</v>
      </c>
      <c r="S18" s="3"/>
    </row>
    <row r="19" spans="1:19" ht="15" customHeight="1" x14ac:dyDescent="0.2">
      <c r="A19" s="3"/>
      <c r="B19" s="3"/>
      <c r="C19" s="22">
        <v>1960</v>
      </c>
      <c r="D19" s="22">
        <v>1960</v>
      </c>
      <c r="E19" s="3"/>
      <c r="F19" s="22">
        <v>13</v>
      </c>
      <c r="G19" s="22">
        <v>8</v>
      </c>
      <c r="H19" s="22">
        <v>2</v>
      </c>
      <c r="I19" s="22">
        <v>0</v>
      </c>
      <c r="J19" s="22">
        <f>SUM(F19:F28)/10</f>
        <v>12.1</v>
      </c>
      <c r="K19" s="22">
        <f>SUM(G19:G28)/10</f>
        <v>7</v>
      </c>
      <c r="L19" s="22">
        <f>SUM(H19:H28)/10</f>
        <v>2</v>
      </c>
      <c r="M19" s="3"/>
      <c r="N19" s="22">
        <v>1960</v>
      </c>
      <c r="O19" s="3"/>
      <c r="P19" s="22">
        <v>112.25</v>
      </c>
      <c r="Q19" s="22">
        <v>14</v>
      </c>
      <c r="R19" s="22">
        <v>0</v>
      </c>
      <c r="S19" s="3"/>
    </row>
    <row r="20" spans="1:19" ht="15" customHeight="1" x14ac:dyDescent="0.2">
      <c r="A20" s="3"/>
      <c r="B20" s="3"/>
      <c r="C20" s="3"/>
      <c r="D20" s="22">
        <v>1961</v>
      </c>
      <c r="E20" s="3"/>
      <c r="F20" s="22">
        <v>9</v>
      </c>
      <c r="G20" s="22">
        <v>5</v>
      </c>
      <c r="H20" s="22">
        <v>2</v>
      </c>
      <c r="I20" s="22">
        <v>0</v>
      </c>
      <c r="J20" s="3"/>
      <c r="K20" s="3"/>
      <c r="L20" s="3"/>
      <c r="M20" s="3"/>
      <c r="N20" s="22">
        <v>1961</v>
      </c>
      <c r="O20" s="3"/>
      <c r="P20" s="22">
        <v>143.76</v>
      </c>
      <c r="Q20" s="22">
        <v>13</v>
      </c>
      <c r="R20" s="22">
        <v>0</v>
      </c>
      <c r="S20" s="3"/>
    </row>
    <row r="21" spans="1:19" ht="15" customHeight="1" x14ac:dyDescent="0.2">
      <c r="A21" s="3"/>
      <c r="B21" s="3"/>
      <c r="C21" s="3"/>
      <c r="D21" s="22">
        <v>1962</v>
      </c>
      <c r="E21" s="3"/>
      <c r="F21" s="22">
        <v>13</v>
      </c>
      <c r="G21" s="22">
        <v>7</v>
      </c>
      <c r="H21" s="22">
        <v>1</v>
      </c>
      <c r="I21" s="22">
        <v>0</v>
      </c>
      <c r="J21" s="3"/>
      <c r="K21" s="3"/>
      <c r="L21" s="3"/>
      <c r="M21" s="3"/>
      <c r="N21" s="22">
        <v>1962</v>
      </c>
      <c r="O21" s="3"/>
      <c r="P21" s="22">
        <v>86.61</v>
      </c>
      <c r="Q21" s="22">
        <v>11</v>
      </c>
      <c r="R21" s="22">
        <v>0</v>
      </c>
      <c r="S21" s="3"/>
    </row>
    <row r="22" spans="1:19" ht="15" customHeight="1" x14ac:dyDescent="0.2">
      <c r="A22" s="3"/>
      <c r="B22" s="3"/>
      <c r="C22" s="3"/>
      <c r="D22" s="22">
        <v>1963</v>
      </c>
      <c r="E22" s="3"/>
      <c r="F22" s="22">
        <v>13</v>
      </c>
      <c r="G22" s="22">
        <v>7</v>
      </c>
      <c r="H22" s="22">
        <v>2</v>
      </c>
      <c r="I22" s="22">
        <v>0</v>
      </c>
      <c r="J22" s="3"/>
      <c r="K22" s="3"/>
      <c r="L22" s="3"/>
      <c r="M22" s="3"/>
      <c r="N22" s="22">
        <v>1963</v>
      </c>
      <c r="O22" s="3"/>
      <c r="P22" s="22">
        <v>46.22</v>
      </c>
      <c r="Q22" s="22">
        <v>8</v>
      </c>
      <c r="R22" s="22">
        <v>0</v>
      </c>
      <c r="S22" s="3"/>
    </row>
    <row r="23" spans="1:19" ht="15" customHeight="1" x14ac:dyDescent="0.2">
      <c r="A23" s="3"/>
      <c r="B23" s="3"/>
      <c r="C23" s="3"/>
      <c r="D23" s="22">
        <v>1964</v>
      </c>
      <c r="E23" s="3"/>
      <c r="F23" s="22">
        <v>12</v>
      </c>
      <c r="G23" s="22">
        <v>7</v>
      </c>
      <c r="H23" s="22">
        <v>1</v>
      </c>
      <c r="I23" s="22">
        <v>0</v>
      </c>
      <c r="J23" s="3"/>
      <c r="K23" s="3"/>
      <c r="L23" s="3"/>
      <c r="M23" s="3"/>
      <c r="N23" s="22">
        <v>1964</v>
      </c>
      <c r="O23" s="3"/>
      <c r="P23" s="22">
        <v>98.02</v>
      </c>
      <c r="Q23" s="22">
        <v>11</v>
      </c>
      <c r="R23" s="22">
        <v>0</v>
      </c>
      <c r="S23" s="3"/>
    </row>
    <row r="24" spans="1:19" ht="15" customHeight="1" x14ac:dyDescent="0.2">
      <c r="A24" s="3"/>
      <c r="B24" s="3"/>
      <c r="C24" s="3"/>
      <c r="D24" s="22">
        <v>1965</v>
      </c>
      <c r="E24" s="3"/>
      <c r="F24" s="22">
        <v>11</v>
      </c>
      <c r="G24" s="22">
        <v>6</v>
      </c>
      <c r="H24" s="22">
        <v>2</v>
      </c>
      <c r="I24" s="22">
        <v>0</v>
      </c>
      <c r="J24" s="3"/>
      <c r="K24" s="3"/>
      <c r="L24" s="3"/>
      <c r="M24" s="3"/>
      <c r="N24" s="22">
        <v>1965</v>
      </c>
      <c r="O24" s="3"/>
      <c r="P24" s="22">
        <v>24.88</v>
      </c>
      <c r="Q24" s="22">
        <v>11</v>
      </c>
      <c r="R24" s="22">
        <v>0</v>
      </c>
      <c r="S24" s="3"/>
    </row>
    <row r="25" spans="1:19" ht="15" customHeight="1" x14ac:dyDescent="0.2">
      <c r="A25" s="3"/>
      <c r="B25" s="3"/>
      <c r="C25" s="3"/>
      <c r="D25" s="22">
        <v>1966</v>
      </c>
      <c r="E25" s="3"/>
      <c r="F25" s="22">
        <v>10</v>
      </c>
      <c r="G25" s="22">
        <v>5</v>
      </c>
      <c r="H25" s="22">
        <v>1</v>
      </c>
      <c r="I25" s="22">
        <v>0</v>
      </c>
      <c r="J25" s="3"/>
      <c r="K25" s="3"/>
      <c r="L25" s="3"/>
      <c r="M25" s="3"/>
      <c r="N25" s="22">
        <v>1966</v>
      </c>
      <c r="O25" s="3"/>
      <c r="P25" s="22">
        <v>11.68</v>
      </c>
      <c r="Q25" s="22">
        <v>6</v>
      </c>
      <c r="R25" s="22">
        <v>0</v>
      </c>
      <c r="S25" s="3"/>
    </row>
    <row r="26" spans="1:19" ht="15" customHeight="1" x14ac:dyDescent="0.2">
      <c r="A26" s="3"/>
      <c r="B26" s="3"/>
      <c r="C26" s="3"/>
      <c r="D26" s="22">
        <v>1967</v>
      </c>
      <c r="E26" s="3"/>
      <c r="F26" s="22">
        <v>10</v>
      </c>
      <c r="G26" s="22">
        <v>6</v>
      </c>
      <c r="H26" s="22">
        <v>1</v>
      </c>
      <c r="I26" s="22">
        <v>0</v>
      </c>
      <c r="J26" s="3"/>
      <c r="K26" s="3"/>
      <c r="L26" s="3"/>
      <c r="M26" s="3"/>
      <c r="N26" s="22">
        <v>1967</v>
      </c>
      <c r="O26" s="3"/>
      <c r="P26" s="22">
        <v>51.54</v>
      </c>
      <c r="Q26" s="22">
        <v>10</v>
      </c>
      <c r="R26" s="22">
        <v>0</v>
      </c>
      <c r="S26" s="3"/>
    </row>
    <row r="27" spans="1:19" ht="15" customHeight="1" x14ac:dyDescent="0.2">
      <c r="A27" s="3"/>
      <c r="B27" s="3"/>
      <c r="C27" s="3"/>
      <c r="D27" s="22">
        <v>1968</v>
      </c>
      <c r="E27" s="3"/>
      <c r="F27" s="22">
        <v>15</v>
      </c>
      <c r="G27" s="22">
        <v>9</v>
      </c>
      <c r="H27" s="22">
        <v>4</v>
      </c>
      <c r="I27" s="22">
        <v>0</v>
      </c>
      <c r="J27" s="3"/>
      <c r="K27" s="3"/>
      <c r="L27" s="3"/>
      <c r="M27" s="3"/>
      <c r="N27" s="22">
        <v>1968</v>
      </c>
      <c r="O27" s="3"/>
      <c r="P27" s="22">
        <v>18.3</v>
      </c>
      <c r="Q27" s="22">
        <v>6</v>
      </c>
      <c r="R27" s="22">
        <v>0</v>
      </c>
      <c r="S27" s="3"/>
    </row>
    <row r="28" spans="1:19" ht="15" customHeight="1" x14ac:dyDescent="0.2">
      <c r="A28" s="3"/>
      <c r="B28" s="3"/>
      <c r="C28" s="3"/>
      <c r="D28" s="22">
        <v>1969</v>
      </c>
      <c r="E28" s="3"/>
      <c r="F28" s="22">
        <v>15</v>
      </c>
      <c r="G28" s="22">
        <v>10</v>
      </c>
      <c r="H28" s="22">
        <v>4</v>
      </c>
      <c r="I28" s="22">
        <v>1</v>
      </c>
      <c r="J28" s="3"/>
      <c r="K28" s="3"/>
      <c r="L28" s="3"/>
      <c r="M28" s="3"/>
      <c r="N28" s="22">
        <v>1969</v>
      </c>
      <c r="O28" s="3"/>
      <c r="P28" s="22">
        <v>48.01</v>
      </c>
      <c r="Q28" s="22">
        <v>10</v>
      </c>
      <c r="R28" s="22">
        <v>0</v>
      </c>
      <c r="S28" s="3"/>
    </row>
    <row r="29" spans="1:19" ht="15" customHeight="1" x14ac:dyDescent="0.2">
      <c r="A29" s="3"/>
      <c r="B29" s="3"/>
      <c r="C29" s="22">
        <v>1970</v>
      </c>
      <c r="D29" s="22">
        <v>1970</v>
      </c>
      <c r="E29" s="3"/>
      <c r="F29" s="22">
        <v>12</v>
      </c>
      <c r="G29" s="22">
        <v>7</v>
      </c>
      <c r="H29" s="22">
        <v>2</v>
      </c>
      <c r="I29" s="22">
        <v>0</v>
      </c>
      <c r="J29" s="22">
        <f>SUM(F29:F38)/4</f>
        <v>29.25</v>
      </c>
      <c r="K29" s="22">
        <f>SUM(G29:G38)/4</f>
        <v>17.75</v>
      </c>
      <c r="L29" s="22">
        <f>SUM(H29:H38)/4</f>
        <v>5</v>
      </c>
      <c r="M29" s="3"/>
      <c r="N29" s="22">
        <v>1970</v>
      </c>
      <c r="O29" s="3"/>
      <c r="P29" s="22">
        <v>24.63</v>
      </c>
      <c r="Q29" s="22">
        <v>6</v>
      </c>
      <c r="R29" s="22">
        <v>0</v>
      </c>
      <c r="S29" s="3"/>
    </row>
    <row r="30" spans="1:19" ht="15" customHeight="1" x14ac:dyDescent="0.2">
      <c r="A30" s="3"/>
      <c r="B30" s="3"/>
      <c r="C30" s="3"/>
      <c r="D30" s="22">
        <v>1971</v>
      </c>
      <c r="E30" s="3"/>
      <c r="F30" s="22">
        <v>11</v>
      </c>
      <c r="G30" s="22">
        <v>6</v>
      </c>
      <c r="H30" s="22">
        <v>0</v>
      </c>
      <c r="I30" s="22">
        <v>0</v>
      </c>
      <c r="J30" s="3"/>
      <c r="K30" s="3"/>
      <c r="L30" s="3"/>
      <c r="M30" s="3"/>
      <c r="N30" s="22">
        <v>1971</v>
      </c>
      <c r="O30" s="3"/>
      <c r="P30" s="22">
        <v>15.74</v>
      </c>
      <c r="Q30" s="22">
        <v>11</v>
      </c>
      <c r="R30" s="22">
        <v>0</v>
      </c>
      <c r="S30" s="3"/>
    </row>
    <row r="31" spans="1:19" ht="15" customHeight="1" x14ac:dyDescent="0.2">
      <c r="A31" s="3"/>
      <c r="B31" s="3"/>
      <c r="C31" s="3"/>
      <c r="D31" s="22">
        <v>1972</v>
      </c>
      <c r="E31" s="3"/>
      <c r="F31" s="22">
        <v>9</v>
      </c>
      <c r="G31" s="22">
        <v>5</v>
      </c>
      <c r="H31" s="22">
        <v>0</v>
      </c>
      <c r="I31" s="22">
        <v>0</v>
      </c>
      <c r="J31" s="3"/>
      <c r="K31" s="3"/>
      <c r="L31" s="3"/>
      <c r="M31" s="3"/>
      <c r="N31" s="22">
        <v>1972</v>
      </c>
      <c r="O31" s="3"/>
      <c r="P31" s="22">
        <v>32.76</v>
      </c>
      <c r="Q31" s="22">
        <v>12</v>
      </c>
      <c r="R31" s="22">
        <v>0</v>
      </c>
      <c r="S31" s="3"/>
    </row>
    <row r="32" spans="1:19" ht="15" customHeight="1" x14ac:dyDescent="0.2">
      <c r="A32" s="3"/>
      <c r="B32" s="3"/>
      <c r="C32" s="3"/>
      <c r="D32" s="22">
        <v>1973</v>
      </c>
      <c r="E32" s="3"/>
      <c r="F32" s="22">
        <v>12</v>
      </c>
      <c r="G32" s="22">
        <v>8</v>
      </c>
      <c r="H32" s="22">
        <v>3</v>
      </c>
      <c r="I32" s="22">
        <v>1</v>
      </c>
      <c r="J32" s="3"/>
      <c r="K32" s="3"/>
      <c r="L32" s="3"/>
      <c r="M32" s="3"/>
      <c r="N32" s="22">
        <v>1973</v>
      </c>
      <c r="O32" s="3"/>
      <c r="P32" s="22">
        <v>157.97999999999999</v>
      </c>
      <c r="Q32" s="22">
        <v>11</v>
      </c>
      <c r="R32" s="22">
        <v>0</v>
      </c>
      <c r="S32" s="3"/>
    </row>
    <row r="33" spans="1:19" ht="15" customHeight="1" x14ac:dyDescent="0.2">
      <c r="A33" s="3"/>
      <c r="B33" s="3"/>
      <c r="C33" s="3"/>
      <c r="D33" s="22">
        <v>1974</v>
      </c>
      <c r="E33" s="3"/>
      <c r="F33" s="22">
        <v>14</v>
      </c>
      <c r="G33" s="22">
        <v>9</v>
      </c>
      <c r="H33" s="22">
        <v>4</v>
      </c>
      <c r="I33" s="22">
        <v>1</v>
      </c>
      <c r="J33" s="3"/>
      <c r="K33" s="3"/>
      <c r="L33" s="3"/>
      <c r="M33" s="3"/>
      <c r="N33" s="22">
        <v>1974</v>
      </c>
      <c r="O33" s="3"/>
      <c r="P33" s="22">
        <v>71.63</v>
      </c>
      <c r="Q33" s="22">
        <v>15</v>
      </c>
      <c r="R33" s="22">
        <v>0</v>
      </c>
      <c r="S33" s="3"/>
    </row>
    <row r="34" spans="1:19" ht="15" customHeight="1" x14ac:dyDescent="0.2">
      <c r="A34" s="3"/>
      <c r="B34" s="3"/>
      <c r="C34" s="3"/>
      <c r="D34" s="22">
        <v>1975</v>
      </c>
      <c r="E34" s="3"/>
      <c r="F34" s="22">
        <v>10</v>
      </c>
      <c r="G34" s="22">
        <v>5</v>
      </c>
      <c r="H34" s="22">
        <v>0</v>
      </c>
      <c r="I34" s="22">
        <v>0</v>
      </c>
      <c r="J34" s="3"/>
      <c r="K34" s="3"/>
      <c r="L34" s="3"/>
      <c r="M34" s="3"/>
      <c r="N34" s="22">
        <v>1975</v>
      </c>
      <c r="O34" s="3"/>
      <c r="P34" s="22">
        <v>105.15</v>
      </c>
      <c r="Q34" s="22">
        <v>14</v>
      </c>
      <c r="R34" s="22">
        <v>0</v>
      </c>
      <c r="S34" s="3"/>
    </row>
    <row r="35" spans="1:19" ht="15" customHeight="1" x14ac:dyDescent="0.2">
      <c r="A35" s="3"/>
      <c r="B35" s="3"/>
      <c r="C35" s="3"/>
      <c r="D35" s="22">
        <v>1976</v>
      </c>
      <c r="E35" s="3"/>
      <c r="F35" s="22">
        <v>15</v>
      </c>
      <c r="G35" s="22">
        <v>10</v>
      </c>
      <c r="H35" s="22">
        <v>5</v>
      </c>
      <c r="I35" s="22">
        <v>4</v>
      </c>
      <c r="J35" s="3"/>
      <c r="K35" s="3"/>
      <c r="L35" s="3"/>
      <c r="M35" s="3"/>
      <c r="N35" s="22">
        <v>1976</v>
      </c>
      <c r="O35" s="3"/>
      <c r="P35" s="22">
        <v>89.15</v>
      </c>
      <c r="Q35" s="22">
        <v>9</v>
      </c>
      <c r="R35" s="22">
        <v>0</v>
      </c>
      <c r="S35" s="3"/>
    </row>
    <row r="36" spans="1:19" ht="15" customHeight="1" x14ac:dyDescent="0.2">
      <c r="A36" s="3"/>
      <c r="B36" s="3"/>
      <c r="C36" s="3"/>
      <c r="D36" s="22">
        <v>1977</v>
      </c>
      <c r="E36" s="3"/>
      <c r="F36" s="22">
        <v>13</v>
      </c>
      <c r="G36" s="22">
        <v>8</v>
      </c>
      <c r="H36" s="22">
        <v>2</v>
      </c>
      <c r="I36" s="22">
        <v>1</v>
      </c>
      <c r="J36" s="3"/>
      <c r="K36" s="3"/>
      <c r="L36" s="3"/>
      <c r="M36" s="3"/>
      <c r="N36" s="22">
        <v>1977</v>
      </c>
      <c r="O36" s="3"/>
      <c r="P36" s="22">
        <v>42.65</v>
      </c>
      <c r="Q36" s="22">
        <v>12</v>
      </c>
      <c r="R36" s="22">
        <v>0</v>
      </c>
      <c r="S36" s="3"/>
    </row>
    <row r="37" spans="1:19" ht="15" customHeight="1" x14ac:dyDescent="0.2">
      <c r="A37" s="3"/>
      <c r="B37" s="3"/>
      <c r="C37" s="3"/>
      <c r="D37" s="22">
        <v>1978</v>
      </c>
      <c r="E37" s="3"/>
      <c r="F37" s="22">
        <v>10</v>
      </c>
      <c r="G37" s="22">
        <v>6</v>
      </c>
      <c r="H37" s="22">
        <v>1</v>
      </c>
      <c r="I37" s="22">
        <v>0</v>
      </c>
      <c r="J37" s="3"/>
      <c r="K37" s="3"/>
      <c r="L37" s="3"/>
      <c r="M37" s="3"/>
      <c r="N37" s="22">
        <v>1978</v>
      </c>
      <c r="O37" s="3"/>
      <c r="P37" s="22">
        <v>43.68</v>
      </c>
      <c r="Q37" s="22">
        <v>8</v>
      </c>
      <c r="R37" s="22">
        <v>0</v>
      </c>
      <c r="S37" s="3"/>
    </row>
    <row r="38" spans="1:19" ht="15" customHeight="1" x14ac:dyDescent="0.2">
      <c r="A38" s="3"/>
      <c r="B38" s="3"/>
      <c r="C38" s="3"/>
      <c r="D38" s="22">
        <v>1979</v>
      </c>
      <c r="E38" s="3"/>
      <c r="F38" s="22">
        <v>11</v>
      </c>
      <c r="G38" s="22">
        <v>7</v>
      </c>
      <c r="H38" s="22">
        <v>3</v>
      </c>
      <c r="I38" s="22">
        <v>0</v>
      </c>
      <c r="J38" s="3"/>
      <c r="K38" s="3"/>
      <c r="L38" s="3"/>
      <c r="M38" s="3"/>
      <c r="N38" s="22">
        <v>1979</v>
      </c>
      <c r="O38" s="3"/>
      <c r="P38" s="22">
        <v>278.37</v>
      </c>
      <c r="Q38" s="22">
        <v>18</v>
      </c>
      <c r="R38" s="22">
        <v>1</v>
      </c>
      <c r="S38" s="3"/>
    </row>
    <row r="39" spans="1:19" ht="15" customHeight="1" x14ac:dyDescent="0.2">
      <c r="A39" s="3"/>
      <c r="B39" s="3"/>
      <c r="C39" s="22">
        <v>1980</v>
      </c>
      <c r="D39" s="22">
        <v>1980</v>
      </c>
      <c r="E39" s="3"/>
      <c r="F39" s="22">
        <v>12</v>
      </c>
      <c r="G39" s="22">
        <v>8</v>
      </c>
      <c r="H39" s="22">
        <v>3</v>
      </c>
      <c r="I39" s="22">
        <v>0</v>
      </c>
      <c r="J39" s="22">
        <f>SUM(F39:F48)/10</f>
        <v>12.1</v>
      </c>
      <c r="K39" s="22">
        <f>SUM(G39:G48)/10</f>
        <v>7.5</v>
      </c>
      <c r="L39" s="22">
        <f>SUM(H39:H48)/10</f>
        <v>2.9</v>
      </c>
      <c r="M39" s="3"/>
      <c r="N39" s="22">
        <v>1980</v>
      </c>
      <c r="O39" s="3"/>
      <c r="P39" s="22">
        <v>123.71</v>
      </c>
      <c r="Q39" s="22">
        <v>17</v>
      </c>
      <c r="R39" s="22">
        <v>0</v>
      </c>
      <c r="S39" s="3"/>
    </row>
    <row r="40" spans="1:19" ht="15" customHeight="1" x14ac:dyDescent="0.2">
      <c r="A40" s="3"/>
      <c r="B40" s="3"/>
      <c r="C40" s="3"/>
      <c r="D40" s="22">
        <v>1981</v>
      </c>
      <c r="E40" s="3"/>
      <c r="F40" s="22">
        <v>14</v>
      </c>
      <c r="G40" s="22">
        <v>8</v>
      </c>
      <c r="H40" s="22">
        <v>3</v>
      </c>
      <c r="I40" s="22">
        <v>0</v>
      </c>
      <c r="J40" s="3"/>
      <c r="K40" s="3"/>
      <c r="L40" s="3"/>
      <c r="M40" s="3"/>
      <c r="N40" s="22">
        <v>1981</v>
      </c>
      <c r="O40" s="3"/>
      <c r="P40" s="22">
        <v>117.87</v>
      </c>
      <c r="Q40" s="22">
        <v>19</v>
      </c>
      <c r="R40" s="22">
        <v>0</v>
      </c>
      <c r="S40" s="3"/>
    </row>
    <row r="41" spans="1:19" ht="15" customHeight="1" x14ac:dyDescent="0.2">
      <c r="A41" s="3"/>
      <c r="B41" s="3"/>
      <c r="C41" s="3"/>
      <c r="D41" s="22">
        <v>1982</v>
      </c>
      <c r="E41" s="3"/>
      <c r="F41" s="22">
        <v>12</v>
      </c>
      <c r="G41" s="22">
        <v>7</v>
      </c>
      <c r="H41" s="22">
        <v>1</v>
      </c>
      <c r="I41" s="22">
        <v>0</v>
      </c>
      <c r="J41" s="3"/>
      <c r="K41" s="3"/>
      <c r="L41" s="3"/>
      <c r="M41" s="3"/>
      <c r="N41" s="22">
        <v>1982</v>
      </c>
      <c r="O41" s="3"/>
      <c r="P41" s="22">
        <v>103.89</v>
      </c>
      <c r="Q41" s="22">
        <v>11</v>
      </c>
      <c r="R41" s="22">
        <v>0</v>
      </c>
      <c r="S41" s="3"/>
    </row>
    <row r="42" spans="1:19" ht="15" customHeight="1" x14ac:dyDescent="0.2">
      <c r="A42" s="3"/>
      <c r="B42" s="3"/>
      <c r="C42" s="3"/>
      <c r="D42" s="22">
        <v>1983</v>
      </c>
      <c r="E42" s="3"/>
      <c r="F42" s="22">
        <v>12</v>
      </c>
      <c r="G42" s="22">
        <v>8</v>
      </c>
      <c r="H42" s="22">
        <v>4</v>
      </c>
      <c r="I42" s="22">
        <v>0</v>
      </c>
      <c r="J42" s="3"/>
      <c r="K42" s="3"/>
      <c r="L42" s="3"/>
      <c r="M42" s="3"/>
      <c r="N42" s="22">
        <v>1983</v>
      </c>
      <c r="O42" s="3"/>
      <c r="P42" s="22">
        <v>218.69</v>
      </c>
      <c r="Q42" s="22">
        <v>19</v>
      </c>
      <c r="R42" s="22">
        <v>0</v>
      </c>
      <c r="S42" s="3"/>
    </row>
    <row r="43" spans="1:19" ht="15" customHeight="1" x14ac:dyDescent="0.2">
      <c r="A43" s="3"/>
      <c r="B43" s="3"/>
      <c r="C43" s="3"/>
      <c r="D43" s="22">
        <v>1984</v>
      </c>
      <c r="E43" s="3"/>
      <c r="F43" s="22">
        <v>12</v>
      </c>
      <c r="G43" s="22">
        <v>8</v>
      </c>
      <c r="H43" s="22">
        <v>3</v>
      </c>
      <c r="I43" s="22">
        <v>0</v>
      </c>
      <c r="J43" s="3"/>
      <c r="K43" s="3"/>
      <c r="L43" s="3"/>
      <c r="M43" s="3"/>
      <c r="N43" s="22">
        <v>1984</v>
      </c>
      <c r="O43" s="3"/>
      <c r="P43" s="22">
        <v>167.11</v>
      </c>
      <c r="Q43" s="22">
        <v>17</v>
      </c>
      <c r="R43" s="22">
        <v>0</v>
      </c>
      <c r="S43" s="3"/>
    </row>
    <row r="44" spans="1:19" ht="15" customHeight="1" x14ac:dyDescent="0.2">
      <c r="A44" s="3"/>
      <c r="B44" s="3"/>
      <c r="C44" s="3"/>
      <c r="D44" s="22">
        <v>1985</v>
      </c>
      <c r="E44" s="3"/>
      <c r="F44" s="22">
        <v>14</v>
      </c>
      <c r="G44" s="22">
        <v>8</v>
      </c>
      <c r="H44" s="22">
        <v>3</v>
      </c>
      <c r="I44" s="22">
        <v>0</v>
      </c>
      <c r="J44" s="3"/>
      <c r="K44" s="3"/>
      <c r="L44" s="3"/>
      <c r="M44" s="3"/>
      <c r="N44" s="22">
        <v>1985</v>
      </c>
      <c r="O44" s="3"/>
      <c r="P44" s="22">
        <v>41.41</v>
      </c>
      <c r="Q44" s="22">
        <v>15</v>
      </c>
      <c r="R44" s="22">
        <v>0</v>
      </c>
      <c r="S44" s="3"/>
    </row>
    <row r="45" spans="1:19" ht="15" customHeight="1" x14ac:dyDescent="0.2">
      <c r="A45" s="3"/>
      <c r="B45" s="3"/>
      <c r="C45" s="3"/>
      <c r="D45" s="22">
        <v>1986</v>
      </c>
      <c r="E45" s="3"/>
      <c r="F45" s="22">
        <v>13</v>
      </c>
      <c r="G45" s="22">
        <v>8</v>
      </c>
      <c r="H45" s="22">
        <v>4</v>
      </c>
      <c r="I45" s="22">
        <v>0</v>
      </c>
      <c r="J45" s="3"/>
      <c r="K45" s="3"/>
      <c r="L45" s="3"/>
      <c r="M45" s="3"/>
      <c r="N45" s="22">
        <v>1986</v>
      </c>
      <c r="O45" s="3"/>
      <c r="P45" s="22">
        <v>45.46</v>
      </c>
      <c r="Q45" s="22">
        <v>17</v>
      </c>
      <c r="R45" s="22">
        <v>0</v>
      </c>
      <c r="S45" s="3"/>
    </row>
    <row r="46" spans="1:19" ht="15" customHeight="1" x14ac:dyDescent="0.2">
      <c r="A46" s="3"/>
      <c r="B46" s="3"/>
      <c r="C46" s="3"/>
      <c r="D46" s="22">
        <v>1987</v>
      </c>
      <c r="E46" s="3"/>
      <c r="F46" s="22">
        <v>12</v>
      </c>
      <c r="G46" s="22">
        <v>8</v>
      </c>
      <c r="H46" s="22">
        <v>4</v>
      </c>
      <c r="I46" s="22">
        <v>0</v>
      </c>
      <c r="J46" s="3"/>
      <c r="K46" s="3"/>
      <c r="L46" s="3"/>
      <c r="M46" s="3"/>
      <c r="N46" s="22">
        <v>1987</v>
      </c>
      <c r="O46" s="3"/>
      <c r="P46" s="22">
        <v>288.04000000000002</v>
      </c>
      <c r="Q46" s="22">
        <v>18</v>
      </c>
      <c r="R46" s="22">
        <v>1</v>
      </c>
      <c r="S46" s="3"/>
    </row>
    <row r="47" spans="1:19" ht="15" customHeight="1" x14ac:dyDescent="0.2">
      <c r="A47" s="3"/>
      <c r="B47" s="3"/>
      <c r="C47" s="3"/>
      <c r="D47" s="22">
        <v>1988</v>
      </c>
      <c r="E47" s="3"/>
      <c r="F47" s="22">
        <v>10</v>
      </c>
      <c r="G47" s="22">
        <v>6</v>
      </c>
      <c r="H47" s="22">
        <v>3</v>
      </c>
      <c r="I47" s="22">
        <v>0</v>
      </c>
      <c r="J47" s="3"/>
      <c r="K47" s="3"/>
      <c r="L47" s="3"/>
      <c r="M47" s="3"/>
      <c r="N47" s="22">
        <v>1988</v>
      </c>
      <c r="O47" s="3"/>
      <c r="P47" s="22">
        <v>80.52</v>
      </c>
      <c r="Q47" s="22">
        <v>15</v>
      </c>
      <c r="R47" s="22">
        <v>0</v>
      </c>
      <c r="S47" s="3"/>
    </row>
    <row r="48" spans="1:19" ht="15" customHeight="1" x14ac:dyDescent="0.2">
      <c r="A48" s="3"/>
      <c r="B48" s="3"/>
      <c r="C48" s="3"/>
      <c r="D48" s="22">
        <v>1989</v>
      </c>
      <c r="E48" s="3"/>
      <c r="F48" s="22">
        <v>10</v>
      </c>
      <c r="G48" s="22">
        <v>6</v>
      </c>
      <c r="H48" s="22">
        <v>1</v>
      </c>
      <c r="I48" s="22">
        <v>0</v>
      </c>
      <c r="J48" s="3"/>
      <c r="K48" s="3"/>
      <c r="L48" s="3"/>
      <c r="M48" s="3"/>
      <c r="N48" s="22">
        <v>1989</v>
      </c>
      <c r="O48" s="3"/>
      <c r="P48" s="22">
        <v>112.02</v>
      </c>
      <c r="Q48" s="22">
        <v>20</v>
      </c>
      <c r="R48" s="22">
        <v>0</v>
      </c>
      <c r="S48" s="3"/>
    </row>
    <row r="49" spans="1:19" ht="15" customHeight="1" x14ac:dyDescent="0.2">
      <c r="A49" s="3"/>
      <c r="B49" s="3"/>
      <c r="C49" s="22">
        <v>1990</v>
      </c>
      <c r="D49" s="22">
        <v>1990</v>
      </c>
      <c r="E49" s="3"/>
      <c r="F49" s="22">
        <v>23</v>
      </c>
      <c r="G49" s="22">
        <v>18</v>
      </c>
      <c r="H49" s="22">
        <v>13</v>
      </c>
      <c r="I49" s="22">
        <v>7</v>
      </c>
      <c r="J49" s="22">
        <f>SUM(F49:F58)/10</f>
        <v>13.3</v>
      </c>
      <c r="K49" s="22">
        <f>SUM(G49:G58)/10</f>
        <v>8.5</v>
      </c>
      <c r="L49" s="22">
        <f>SUM(H49:H58)/10</f>
        <v>3.8</v>
      </c>
      <c r="M49" s="3"/>
      <c r="N49" s="22">
        <v>1990</v>
      </c>
      <c r="O49" s="3"/>
      <c r="P49" s="22">
        <v>17.190000000000001</v>
      </c>
      <c r="Q49" s="22">
        <v>11</v>
      </c>
      <c r="R49" s="22">
        <v>0</v>
      </c>
      <c r="S49" s="3"/>
    </row>
    <row r="50" spans="1:19" ht="15" customHeight="1" x14ac:dyDescent="0.2">
      <c r="A50" s="3"/>
      <c r="B50" s="3"/>
      <c r="C50" s="3"/>
      <c r="D50" s="22">
        <v>1991</v>
      </c>
      <c r="E50" s="3"/>
      <c r="F50" s="22">
        <v>14</v>
      </c>
      <c r="G50" s="22">
        <v>9</v>
      </c>
      <c r="H50" s="22">
        <v>4</v>
      </c>
      <c r="I50" s="22">
        <v>1</v>
      </c>
      <c r="J50" s="3"/>
      <c r="K50" s="3"/>
      <c r="L50" s="3"/>
      <c r="M50" s="3"/>
      <c r="N50" s="22">
        <v>1991</v>
      </c>
      <c r="O50" s="3"/>
      <c r="P50" s="22">
        <v>82.29</v>
      </c>
      <c r="Q50" s="22">
        <v>8</v>
      </c>
      <c r="R50" s="22">
        <v>0</v>
      </c>
      <c r="S50" s="3"/>
    </row>
    <row r="51" spans="1:19" ht="15" customHeight="1" x14ac:dyDescent="0.2">
      <c r="A51" s="3"/>
      <c r="B51" s="3"/>
      <c r="C51" s="3"/>
      <c r="D51" s="22">
        <v>1992</v>
      </c>
      <c r="E51" s="3"/>
      <c r="F51" s="22">
        <v>10</v>
      </c>
      <c r="G51" s="22">
        <v>6</v>
      </c>
      <c r="H51" s="22">
        <v>2</v>
      </c>
      <c r="I51" s="22">
        <v>0</v>
      </c>
      <c r="J51" s="3"/>
      <c r="K51" s="3"/>
      <c r="L51" s="3"/>
      <c r="M51" s="3"/>
      <c r="N51" s="22">
        <v>1992</v>
      </c>
      <c r="O51" s="3"/>
      <c r="P51" s="22">
        <v>165.87</v>
      </c>
      <c r="Q51" s="22">
        <v>20</v>
      </c>
      <c r="R51" s="22">
        <v>1</v>
      </c>
      <c r="S51" s="3"/>
    </row>
    <row r="52" spans="1:19" ht="15" customHeight="1" x14ac:dyDescent="0.2">
      <c r="A52" s="3"/>
      <c r="B52" s="3"/>
      <c r="C52" s="3"/>
      <c r="D52" s="22">
        <v>1993</v>
      </c>
      <c r="E52" s="3"/>
      <c r="F52" s="22">
        <v>12</v>
      </c>
      <c r="G52" s="22">
        <v>8</v>
      </c>
      <c r="H52" s="22">
        <v>3</v>
      </c>
      <c r="I52" s="22">
        <v>0</v>
      </c>
      <c r="J52" s="3"/>
      <c r="K52" s="3"/>
      <c r="L52" s="3"/>
      <c r="M52" s="3"/>
      <c r="N52" s="22">
        <v>1993</v>
      </c>
      <c r="O52" s="3"/>
      <c r="P52" s="22">
        <v>106.42</v>
      </c>
      <c r="Q52" s="22">
        <v>16</v>
      </c>
      <c r="R52" s="22">
        <v>0</v>
      </c>
      <c r="S52" s="3"/>
    </row>
    <row r="53" spans="1:19" ht="15" customHeight="1" x14ac:dyDescent="0.2">
      <c r="A53" s="3"/>
      <c r="B53" s="3"/>
      <c r="C53" s="3"/>
      <c r="D53" s="22">
        <v>1994</v>
      </c>
      <c r="E53" s="3"/>
      <c r="F53" s="22">
        <v>14</v>
      </c>
      <c r="G53" s="22">
        <v>9</v>
      </c>
      <c r="H53" s="22">
        <v>3</v>
      </c>
      <c r="I53" s="22">
        <v>0</v>
      </c>
      <c r="J53" s="3"/>
      <c r="K53" s="3"/>
      <c r="L53" s="3"/>
      <c r="M53" s="3"/>
      <c r="N53" s="22">
        <v>1994</v>
      </c>
      <c r="O53" s="3"/>
      <c r="P53" s="22">
        <v>74.91</v>
      </c>
      <c r="Q53" s="22">
        <v>17</v>
      </c>
      <c r="R53" s="22">
        <v>0</v>
      </c>
      <c r="S53" s="3"/>
    </row>
    <row r="54" spans="1:19" ht="15" customHeight="1" x14ac:dyDescent="0.2">
      <c r="A54" s="3"/>
      <c r="B54" s="3"/>
      <c r="C54" s="3"/>
      <c r="D54" s="22">
        <v>1995</v>
      </c>
      <c r="E54" s="3"/>
      <c r="F54" s="22">
        <v>11</v>
      </c>
      <c r="G54" s="22">
        <v>6</v>
      </c>
      <c r="H54" s="22">
        <v>1</v>
      </c>
      <c r="I54" s="22">
        <v>0</v>
      </c>
      <c r="J54" s="3"/>
      <c r="K54" s="3"/>
      <c r="L54" s="3"/>
      <c r="M54" s="3"/>
      <c r="N54" s="22">
        <v>1995</v>
      </c>
      <c r="O54" s="3"/>
      <c r="P54" s="22">
        <v>257.04000000000002</v>
      </c>
      <c r="Q54" s="22">
        <v>27</v>
      </c>
      <c r="R54" s="22">
        <v>0</v>
      </c>
      <c r="S54" s="3"/>
    </row>
    <row r="55" spans="1:19" ht="15" customHeight="1" x14ac:dyDescent="0.2">
      <c r="A55" s="3"/>
      <c r="B55" s="3"/>
      <c r="C55" s="3"/>
      <c r="D55" s="22">
        <v>1996</v>
      </c>
      <c r="E55" s="3"/>
      <c r="F55" s="22">
        <v>12</v>
      </c>
      <c r="G55" s="22">
        <v>7</v>
      </c>
      <c r="H55" s="22">
        <v>3</v>
      </c>
      <c r="I55" s="22">
        <v>0</v>
      </c>
      <c r="J55" s="3"/>
      <c r="K55" s="3"/>
      <c r="L55" s="3"/>
      <c r="M55" s="3"/>
      <c r="N55" s="22">
        <v>1996</v>
      </c>
      <c r="O55" s="3"/>
      <c r="P55" s="22">
        <v>210.06</v>
      </c>
      <c r="Q55" s="22">
        <v>24</v>
      </c>
      <c r="R55" s="22">
        <v>1</v>
      </c>
      <c r="S55" s="3"/>
    </row>
    <row r="56" spans="1:19" ht="15" customHeight="1" x14ac:dyDescent="0.2">
      <c r="A56" s="3"/>
      <c r="B56" s="3"/>
      <c r="C56" s="3"/>
      <c r="D56" s="22">
        <v>1997</v>
      </c>
      <c r="E56" s="3"/>
      <c r="F56" s="22">
        <v>11</v>
      </c>
      <c r="G56" s="22">
        <v>6</v>
      </c>
      <c r="H56" s="22">
        <v>2</v>
      </c>
      <c r="I56" s="22">
        <v>0</v>
      </c>
      <c r="J56" s="3"/>
      <c r="K56" s="3"/>
      <c r="L56" s="3"/>
      <c r="M56" s="3"/>
      <c r="N56" s="22">
        <v>1997</v>
      </c>
      <c r="O56" s="3"/>
      <c r="P56" s="22">
        <v>81.27</v>
      </c>
      <c r="Q56" s="22">
        <v>10</v>
      </c>
      <c r="R56" s="22">
        <v>0</v>
      </c>
      <c r="S56" s="3"/>
    </row>
    <row r="57" spans="1:19" ht="15" customHeight="1" x14ac:dyDescent="0.2">
      <c r="A57" s="3"/>
      <c r="B57" s="3"/>
      <c r="C57" s="3"/>
      <c r="D57" s="22">
        <v>1998</v>
      </c>
      <c r="E57" s="3"/>
      <c r="F57" s="22">
        <v>13</v>
      </c>
      <c r="G57" s="22">
        <v>8</v>
      </c>
      <c r="H57" s="22">
        <v>4</v>
      </c>
      <c r="I57" s="22">
        <v>0</v>
      </c>
      <c r="J57" s="3"/>
      <c r="K57" s="3"/>
      <c r="L57" s="3"/>
      <c r="M57" s="3"/>
      <c r="N57" s="22">
        <v>1998</v>
      </c>
      <c r="O57" s="3"/>
      <c r="P57" s="22">
        <v>81.78</v>
      </c>
      <c r="Q57" s="22">
        <v>13</v>
      </c>
      <c r="R57" s="22">
        <v>0</v>
      </c>
      <c r="S57" s="3"/>
    </row>
    <row r="58" spans="1:19" ht="15" customHeight="1" x14ac:dyDescent="0.2">
      <c r="A58" s="3"/>
      <c r="B58" s="3"/>
      <c r="C58" s="3"/>
      <c r="D58" s="22">
        <v>1999</v>
      </c>
      <c r="E58" s="3"/>
      <c r="F58" s="22">
        <v>13</v>
      </c>
      <c r="G58" s="22">
        <v>8</v>
      </c>
      <c r="H58" s="22">
        <v>3</v>
      </c>
      <c r="I58" s="22">
        <v>0</v>
      </c>
      <c r="J58" s="3"/>
      <c r="K58" s="3"/>
      <c r="L58" s="3"/>
      <c r="M58" s="3"/>
      <c r="N58" s="22">
        <v>1999</v>
      </c>
      <c r="O58" s="3"/>
      <c r="P58" s="22">
        <v>23.38</v>
      </c>
      <c r="Q58" s="22">
        <v>10</v>
      </c>
      <c r="R58" s="22">
        <v>0</v>
      </c>
      <c r="S58" s="3"/>
    </row>
    <row r="59" spans="1:19" ht="15" customHeight="1" x14ac:dyDescent="0.2">
      <c r="A59" s="3"/>
      <c r="B59" s="3"/>
      <c r="C59" s="22">
        <v>2000</v>
      </c>
      <c r="D59" s="22">
        <v>2000</v>
      </c>
      <c r="E59" s="3"/>
      <c r="F59" s="22">
        <v>11</v>
      </c>
      <c r="G59" s="22">
        <v>7</v>
      </c>
      <c r="H59" s="22">
        <v>2</v>
      </c>
      <c r="I59" s="22">
        <v>0</v>
      </c>
      <c r="J59" s="22">
        <f>SUM(F59:F68)/10</f>
        <v>13.2</v>
      </c>
      <c r="K59" s="22">
        <f>SUM(G59:G68)/10</f>
        <v>8.3000000000000007</v>
      </c>
      <c r="L59" s="22">
        <f>SUM(H59:H68)/10</f>
        <v>3</v>
      </c>
      <c r="M59" s="3"/>
      <c r="N59" s="22">
        <v>2000</v>
      </c>
      <c r="O59" s="3"/>
      <c r="P59" s="22">
        <v>152.9</v>
      </c>
      <c r="Q59" s="22">
        <v>16</v>
      </c>
      <c r="R59" s="22">
        <v>0</v>
      </c>
      <c r="S59" s="3"/>
    </row>
    <row r="60" spans="1:19" ht="15" customHeight="1" x14ac:dyDescent="0.2">
      <c r="A60" s="3"/>
      <c r="B60" s="3"/>
      <c r="C60" s="3"/>
      <c r="D60" s="22">
        <v>2001</v>
      </c>
      <c r="E60" s="3"/>
      <c r="F60" s="22">
        <v>13</v>
      </c>
      <c r="G60" s="22">
        <v>8</v>
      </c>
      <c r="H60" s="22">
        <v>3</v>
      </c>
      <c r="I60" s="22">
        <v>1</v>
      </c>
      <c r="J60" s="3"/>
      <c r="K60" s="3"/>
      <c r="L60" s="3"/>
      <c r="M60" s="3"/>
      <c r="N60" s="22">
        <v>2001</v>
      </c>
      <c r="O60" s="3"/>
      <c r="P60" s="22">
        <v>19.3</v>
      </c>
      <c r="Q60" s="22">
        <v>7</v>
      </c>
      <c r="R60" s="22">
        <v>0</v>
      </c>
      <c r="S60" s="3"/>
    </row>
    <row r="61" spans="1:19" ht="15" customHeight="1" x14ac:dyDescent="0.2">
      <c r="A61" s="3"/>
      <c r="B61" s="3"/>
      <c r="C61" s="3"/>
      <c r="D61" s="22">
        <v>2002</v>
      </c>
      <c r="E61" s="3"/>
      <c r="F61" s="22">
        <v>14</v>
      </c>
      <c r="G61" s="22">
        <v>9</v>
      </c>
      <c r="H61" s="22">
        <v>3</v>
      </c>
      <c r="I61" s="22">
        <v>3</v>
      </c>
      <c r="J61" s="3"/>
      <c r="K61" s="3"/>
      <c r="L61" s="3"/>
      <c r="M61" s="3"/>
      <c r="N61" s="22">
        <v>2002</v>
      </c>
      <c r="O61" s="3"/>
      <c r="P61" s="22">
        <v>93.23</v>
      </c>
      <c r="Q61" s="22">
        <v>16</v>
      </c>
      <c r="R61" s="22">
        <v>0</v>
      </c>
      <c r="S61" s="3"/>
    </row>
    <row r="62" spans="1:19" ht="15" customHeight="1" x14ac:dyDescent="0.2">
      <c r="A62" s="3"/>
      <c r="B62" s="3"/>
      <c r="C62" s="3"/>
      <c r="D62" s="22">
        <v>2003</v>
      </c>
      <c r="E62" s="3"/>
      <c r="F62" s="22">
        <v>11</v>
      </c>
      <c r="G62" s="22">
        <v>6</v>
      </c>
      <c r="H62" s="22">
        <v>1</v>
      </c>
      <c r="I62" s="22">
        <v>0</v>
      </c>
      <c r="J62" s="3"/>
      <c r="K62" s="3"/>
      <c r="L62" s="3"/>
      <c r="M62" s="3"/>
      <c r="N62" s="22">
        <v>2003</v>
      </c>
      <c r="O62" s="3"/>
      <c r="P62" s="22">
        <v>83.31</v>
      </c>
      <c r="Q62" s="22">
        <v>15</v>
      </c>
      <c r="R62" s="22">
        <v>0</v>
      </c>
      <c r="S62" s="3"/>
    </row>
    <row r="63" spans="1:19" ht="15" customHeight="1" x14ac:dyDescent="0.2">
      <c r="A63" s="3"/>
      <c r="B63" s="3"/>
      <c r="C63" s="3"/>
      <c r="D63" s="22">
        <v>2004</v>
      </c>
      <c r="E63" s="3"/>
      <c r="F63" s="22">
        <v>14</v>
      </c>
      <c r="G63" s="22">
        <v>8</v>
      </c>
      <c r="H63" s="22">
        <v>3</v>
      </c>
      <c r="I63" s="22">
        <v>0</v>
      </c>
      <c r="J63" s="3"/>
      <c r="K63" s="3"/>
      <c r="L63" s="3"/>
      <c r="M63" s="3"/>
      <c r="N63" s="22">
        <v>2004</v>
      </c>
      <c r="O63" s="3"/>
      <c r="P63" s="22">
        <v>164.32</v>
      </c>
      <c r="Q63" s="22">
        <v>14</v>
      </c>
      <c r="R63" s="22">
        <v>0</v>
      </c>
      <c r="S63" s="3"/>
    </row>
    <row r="64" spans="1:19" ht="15" customHeight="1" x14ac:dyDescent="0.2">
      <c r="A64" s="3"/>
      <c r="B64" s="3"/>
      <c r="C64" s="3"/>
      <c r="D64" s="22">
        <v>2005</v>
      </c>
      <c r="E64" s="3"/>
      <c r="F64" s="22">
        <v>15</v>
      </c>
      <c r="G64" s="22">
        <v>10</v>
      </c>
      <c r="H64" s="22">
        <v>4</v>
      </c>
      <c r="I64" s="22">
        <v>1</v>
      </c>
      <c r="J64" s="3"/>
      <c r="K64" s="3"/>
      <c r="L64" s="3"/>
      <c r="M64" s="3"/>
      <c r="N64" s="22">
        <v>2005</v>
      </c>
      <c r="O64" s="3"/>
      <c r="P64" s="22">
        <v>165.1</v>
      </c>
      <c r="Q64" s="22">
        <v>15</v>
      </c>
      <c r="R64" s="22">
        <v>0</v>
      </c>
      <c r="S64" s="3"/>
    </row>
    <row r="65" spans="1:19" ht="15" customHeight="1" x14ac:dyDescent="0.2">
      <c r="A65" s="3"/>
      <c r="B65" s="3"/>
      <c r="C65" s="3"/>
      <c r="D65" s="22">
        <v>2006</v>
      </c>
      <c r="E65" s="3"/>
      <c r="F65" s="22">
        <v>15</v>
      </c>
      <c r="G65" s="22">
        <v>9</v>
      </c>
      <c r="H65" s="22">
        <v>4</v>
      </c>
      <c r="I65" s="22">
        <v>0</v>
      </c>
      <c r="J65" s="3"/>
      <c r="K65" s="3"/>
      <c r="L65" s="3"/>
      <c r="M65" s="3"/>
      <c r="N65" s="22">
        <v>2006</v>
      </c>
      <c r="O65" s="3"/>
      <c r="P65" s="22">
        <v>59.69</v>
      </c>
      <c r="Q65" s="22">
        <v>13</v>
      </c>
      <c r="R65" s="22">
        <v>0</v>
      </c>
      <c r="S65" s="3"/>
    </row>
    <row r="66" spans="1:19" ht="15" customHeight="1" x14ac:dyDescent="0.2">
      <c r="A66" s="3"/>
      <c r="B66" s="3"/>
      <c r="C66" s="3"/>
      <c r="D66" s="22">
        <v>2007</v>
      </c>
      <c r="E66" s="3"/>
      <c r="F66" s="22">
        <v>10</v>
      </c>
      <c r="G66" s="22">
        <v>7</v>
      </c>
      <c r="H66" s="22">
        <v>2</v>
      </c>
      <c r="I66" s="22">
        <v>1</v>
      </c>
      <c r="J66" s="3"/>
      <c r="K66" s="3"/>
      <c r="L66" s="3"/>
      <c r="M66" s="3"/>
      <c r="N66" s="22">
        <v>2007</v>
      </c>
      <c r="O66" s="3"/>
      <c r="P66" s="22">
        <v>210.81</v>
      </c>
      <c r="Q66" s="22">
        <v>14</v>
      </c>
      <c r="R66" s="22">
        <v>0</v>
      </c>
      <c r="S66" s="3"/>
    </row>
    <row r="67" spans="1:19" ht="15" customHeight="1" x14ac:dyDescent="0.2">
      <c r="A67" s="3"/>
      <c r="B67" s="3"/>
      <c r="C67" s="3"/>
      <c r="D67" s="22">
        <v>2008</v>
      </c>
      <c r="E67" s="3"/>
      <c r="F67" s="22">
        <v>15</v>
      </c>
      <c r="G67" s="22">
        <v>10</v>
      </c>
      <c r="H67" s="22">
        <v>4</v>
      </c>
      <c r="I67" s="22">
        <v>0</v>
      </c>
      <c r="J67" s="3"/>
      <c r="K67" s="3"/>
      <c r="L67" s="3"/>
      <c r="M67" s="3"/>
      <c r="N67" s="22">
        <v>2008</v>
      </c>
      <c r="O67" s="3"/>
      <c r="P67" s="22">
        <v>107.69</v>
      </c>
      <c r="Q67" s="22">
        <v>11</v>
      </c>
      <c r="R67" s="22">
        <v>0</v>
      </c>
      <c r="S67" s="3"/>
    </row>
    <row r="68" spans="1:19" ht="15" customHeight="1" x14ac:dyDescent="0.2">
      <c r="A68" s="3"/>
      <c r="B68" s="3"/>
      <c r="C68" s="3"/>
      <c r="D68" s="22">
        <v>2009</v>
      </c>
      <c r="E68" s="3"/>
      <c r="F68" s="22">
        <v>14</v>
      </c>
      <c r="G68" s="22">
        <v>9</v>
      </c>
      <c r="H68" s="22">
        <v>4</v>
      </c>
      <c r="I68" s="22">
        <v>4</v>
      </c>
      <c r="J68" s="3"/>
      <c r="K68" s="3"/>
      <c r="L68" s="3"/>
      <c r="M68" s="3"/>
      <c r="N68" s="22">
        <v>2009</v>
      </c>
      <c r="O68" s="3"/>
      <c r="P68" s="22">
        <v>96.51</v>
      </c>
      <c r="Q68" s="22">
        <v>13</v>
      </c>
      <c r="R68" s="22">
        <v>0</v>
      </c>
      <c r="S68" s="3"/>
    </row>
    <row r="69" spans="1:19" ht="15" customHeight="1" x14ac:dyDescent="0.2">
      <c r="A69" s="3"/>
      <c r="B69" s="3"/>
      <c r="C69" s="22">
        <v>2010</v>
      </c>
      <c r="D69" s="22">
        <v>2010</v>
      </c>
      <c r="E69" s="3"/>
      <c r="F69" s="22">
        <v>16</v>
      </c>
      <c r="G69" s="22">
        <v>11</v>
      </c>
      <c r="H69" s="22">
        <v>5</v>
      </c>
      <c r="I69" s="22">
        <v>0</v>
      </c>
      <c r="J69" s="22">
        <f>SUM(F69:F78)/8</f>
        <v>14.875</v>
      </c>
      <c r="K69" s="22">
        <f>SUM(G69:G78)/8</f>
        <v>9.5</v>
      </c>
      <c r="L69" s="22">
        <f>SUM(H69:H78)/8</f>
        <v>3.5</v>
      </c>
      <c r="M69" s="3"/>
      <c r="N69" s="22">
        <v>2010</v>
      </c>
      <c r="O69" s="3"/>
      <c r="P69" s="22">
        <v>34.78</v>
      </c>
      <c r="Q69" s="22">
        <v>7</v>
      </c>
      <c r="R69" s="22">
        <v>0</v>
      </c>
      <c r="S69" s="3"/>
    </row>
    <row r="70" spans="1:19" ht="15" customHeight="1" x14ac:dyDescent="0.2">
      <c r="A70" s="3"/>
      <c r="B70" s="3"/>
      <c r="C70" s="3"/>
      <c r="D70" s="22">
        <v>2011</v>
      </c>
      <c r="E70" s="3"/>
      <c r="F70" s="22">
        <v>13</v>
      </c>
      <c r="G70" s="22">
        <v>9</v>
      </c>
      <c r="H70" s="22">
        <v>4</v>
      </c>
      <c r="I70" s="22">
        <v>0</v>
      </c>
      <c r="J70" s="3"/>
      <c r="K70" s="3"/>
      <c r="L70" s="3"/>
      <c r="M70" s="3"/>
      <c r="N70" s="22">
        <v>2011</v>
      </c>
      <c r="O70" s="3"/>
      <c r="P70" s="22">
        <v>140.71</v>
      </c>
      <c r="Q70" s="22">
        <v>13</v>
      </c>
      <c r="R70" s="22">
        <v>0</v>
      </c>
      <c r="S70" s="3"/>
    </row>
    <row r="71" spans="1:19" ht="15" customHeight="1" x14ac:dyDescent="0.2">
      <c r="A71" s="3"/>
      <c r="B71" s="3"/>
      <c r="C71" s="3"/>
      <c r="D71" s="22">
        <v>2012</v>
      </c>
      <c r="E71" s="3"/>
      <c r="F71" s="22">
        <v>15</v>
      </c>
      <c r="G71" s="22">
        <v>10</v>
      </c>
      <c r="H71" s="22">
        <v>4</v>
      </c>
      <c r="I71" s="22">
        <v>1</v>
      </c>
      <c r="J71" s="3"/>
      <c r="K71" s="3"/>
      <c r="L71" s="3"/>
      <c r="M71" s="3"/>
      <c r="N71" s="22">
        <v>2012</v>
      </c>
      <c r="O71" s="3"/>
      <c r="P71" s="22">
        <v>79.25</v>
      </c>
      <c r="Q71" s="22">
        <v>9</v>
      </c>
      <c r="R71" s="22">
        <v>0</v>
      </c>
      <c r="S71" s="3"/>
    </row>
    <row r="72" spans="1:19" ht="15" customHeight="1" x14ac:dyDescent="0.2">
      <c r="A72" s="3"/>
      <c r="B72" s="3"/>
      <c r="C72" s="3"/>
      <c r="D72" s="22">
        <v>2013</v>
      </c>
      <c r="E72" s="3"/>
      <c r="F72" s="22">
        <v>13</v>
      </c>
      <c r="G72" s="22">
        <v>8</v>
      </c>
      <c r="H72" s="22">
        <v>2</v>
      </c>
      <c r="I72" s="22">
        <v>0</v>
      </c>
      <c r="J72" s="3"/>
      <c r="K72" s="3"/>
      <c r="L72" s="3"/>
      <c r="M72" s="3"/>
      <c r="N72" s="22">
        <v>2013</v>
      </c>
      <c r="O72" s="3"/>
      <c r="P72" s="22">
        <v>39.380000000000003</v>
      </c>
      <c r="Q72" s="22">
        <v>11</v>
      </c>
      <c r="R72" s="22">
        <v>0</v>
      </c>
      <c r="S72" s="3"/>
    </row>
    <row r="73" spans="1:19" ht="15" customHeight="1" x14ac:dyDescent="0.2">
      <c r="A73" s="3"/>
      <c r="B73" s="3"/>
      <c r="C73" s="3"/>
      <c r="D73" s="22">
        <v>2014</v>
      </c>
      <c r="E73" s="3"/>
      <c r="F73" s="22">
        <v>13</v>
      </c>
      <c r="G73" s="22">
        <v>8</v>
      </c>
      <c r="H73" s="22">
        <v>2</v>
      </c>
      <c r="I73" s="22">
        <v>0</v>
      </c>
      <c r="J73" s="3"/>
      <c r="K73" s="3"/>
      <c r="L73" s="3"/>
      <c r="M73" s="3"/>
      <c r="N73" s="22">
        <v>2014</v>
      </c>
      <c r="O73" s="3"/>
      <c r="P73" s="22">
        <v>112.76</v>
      </c>
      <c r="Q73" s="22">
        <v>14</v>
      </c>
      <c r="R73" s="22">
        <v>0</v>
      </c>
      <c r="S73" s="3"/>
    </row>
    <row r="74" spans="1:19" ht="15" customHeight="1" x14ac:dyDescent="0.2">
      <c r="A74" s="3"/>
      <c r="B74" s="3"/>
      <c r="C74" s="3"/>
      <c r="D74" s="22">
        <v>2015</v>
      </c>
      <c r="E74" s="3"/>
      <c r="F74" s="22">
        <v>13</v>
      </c>
      <c r="G74" s="22">
        <v>8</v>
      </c>
      <c r="H74" s="22">
        <v>3</v>
      </c>
      <c r="I74" s="22">
        <v>0</v>
      </c>
      <c r="J74" s="3"/>
      <c r="K74" s="3"/>
      <c r="L74" s="3"/>
      <c r="M74" s="3"/>
      <c r="N74" s="22">
        <v>2015</v>
      </c>
      <c r="O74" s="3"/>
      <c r="P74" s="22">
        <v>75.42</v>
      </c>
      <c r="Q74" s="22">
        <v>13</v>
      </c>
      <c r="R74" s="22">
        <v>0</v>
      </c>
      <c r="S74" s="3"/>
    </row>
    <row r="75" spans="1:19" ht="15" customHeight="1" x14ac:dyDescent="0.2">
      <c r="A75" s="3"/>
      <c r="B75" s="3"/>
      <c r="C75" s="3"/>
      <c r="D75" s="22">
        <v>2016</v>
      </c>
      <c r="E75" s="3"/>
      <c r="F75" s="22">
        <v>12</v>
      </c>
      <c r="G75" s="22">
        <v>7</v>
      </c>
      <c r="H75" s="22">
        <v>2</v>
      </c>
      <c r="I75" s="22">
        <v>1</v>
      </c>
      <c r="J75" s="3"/>
      <c r="K75" s="3"/>
      <c r="L75" s="3"/>
      <c r="M75" s="3"/>
      <c r="N75" s="22">
        <v>2016</v>
      </c>
      <c r="O75" s="3"/>
      <c r="P75" s="22">
        <v>66.8</v>
      </c>
      <c r="Q75" s="22">
        <v>8</v>
      </c>
      <c r="R75" s="22">
        <v>0</v>
      </c>
      <c r="S75" s="3"/>
    </row>
    <row r="76" spans="1:19" ht="15" customHeight="1" x14ac:dyDescent="0.2">
      <c r="A76" s="3"/>
      <c r="B76" s="3"/>
      <c r="C76" s="3"/>
      <c r="D76" s="22">
        <v>2017</v>
      </c>
      <c r="E76" s="3"/>
      <c r="F76" s="22">
        <v>15</v>
      </c>
      <c r="G76" s="22">
        <v>10</v>
      </c>
      <c r="H76" s="22">
        <v>5</v>
      </c>
      <c r="I76" s="22">
        <v>2</v>
      </c>
      <c r="J76" s="3"/>
      <c r="K76" s="3"/>
      <c r="L76" s="3"/>
      <c r="M76" s="3"/>
      <c r="N76" s="22">
        <v>2017</v>
      </c>
      <c r="O76" s="3"/>
      <c r="P76" s="22">
        <v>120.63</v>
      </c>
      <c r="Q76" s="22">
        <v>15</v>
      </c>
      <c r="R76" s="22">
        <v>0</v>
      </c>
      <c r="S76" s="3"/>
    </row>
    <row r="77" spans="1:19" ht="15" customHeight="1" x14ac:dyDescent="0.2">
      <c r="A77" s="3"/>
      <c r="B77" s="3"/>
      <c r="C77" s="3"/>
      <c r="D77" s="22">
        <v>2018</v>
      </c>
      <c r="E77" s="3"/>
      <c r="F77" s="22">
        <v>9</v>
      </c>
      <c r="G77" s="22">
        <v>5</v>
      </c>
      <c r="H77" s="22">
        <v>1</v>
      </c>
      <c r="I77" s="22">
        <v>0</v>
      </c>
      <c r="J77" s="3"/>
      <c r="K77" s="3"/>
      <c r="L77" s="3"/>
      <c r="M77" s="3"/>
      <c r="N77" s="22">
        <v>2018</v>
      </c>
      <c r="O77" s="3"/>
      <c r="P77" s="22">
        <v>134.36000000000001</v>
      </c>
      <c r="Q77" s="22">
        <v>16</v>
      </c>
      <c r="R77" s="22">
        <v>0</v>
      </c>
      <c r="S77" s="3"/>
    </row>
    <row r="78" spans="1:19" ht="1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19" ht="1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19" ht="1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9" ht="15" customHeight="1" x14ac:dyDescent="0.2">
      <c r="A81" s="3"/>
      <c r="B81" s="3"/>
      <c r="C81" s="3"/>
      <c r="D81" s="4" t="s">
        <v>25</v>
      </c>
      <c r="E81" s="3"/>
      <c r="F81" s="3"/>
      <c r="G81" s="3"/>
      <c r="H81" s="3"/>
      <c r="I81" s="3"/>
      <c r="J81" s="3"/>
      <c r="K81" s="3"/>
      <c r="L81" s="3"/>
      <c r="M81" s="3"/>
      <c r="N81" s="4" t="s">
        <v>25</v>
      </c>
      <c r="O81" s="3"/>
      <c r="P81" s="3"/>
      <c r="Q81" s="3"/>
      <c r="R81" s="3"/>
      <c r="S81" s="3"/>
    </row>
    <row r="82" spans="1:19" ht="1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1:19" ht="15" customHeight="1" x14ac:dyDescent="0.2">
      <c r="A83" s="3"/>
      <c r="B83" s="3"/>
      <c r="C83" s="3"/>
      <c r="D83" s="37" t="s">
        <v>26</v>
      </c>
      <c r="E83" s="3"/>
      <c r="F83" s="22">
        <f>COUNT(F9:F77)</f>
        <v>69</v>
      </c>
      <c r="G83" s="22">
        <f>COUNT(G9:G77)</f>
        <v>69</v>
      </c>
      <c r="H83" s="22">
        <f>COUNT(H9:H77)</f>
        <v>69</v>
      </c>
      <c r="I83" s="3"/>
      <c r="J83" s="3"/>
      <c r="K83" s="3"/>
      <c r="L83" s="3"/>
      <c r="M83" s="3"/>
      <c r="N83" s="37" t="s">
        <v>26</v>
      </c>
      <c r="O83" s="3"/>
      <c r="P83" s="22">
        <f>COUNT(P9:P77)</f>
        <v>62</v>
      </c>
      <c r="Q83" s="22">
        <f>COUNT(Q9:Q77)</f>
        <v>62</v>
      </c>
      <c r="R83" s="22">
        <f>COUNT(R9:R77)</f>
        <v>62</v>
      </c>
      <c r="S83" s="3"/>
    </row>
    <row r="84" spans="1:19" ht="15" customHeight="1" x14ac:dyDescent="0.2">
      <c r="A84" s="3"/>
      <c r="B84" s="3"/>
      <c r="C84" s="3"/>
      <c r="D84" s="37" t="s">
        <v>11</v>
      </c>
      <c r="E84" s="3"/>
      <c r="F84" s="38">
        <f>AVERAGE(F9:F77)</f>
        <v>12.579710144927537</v>
      </c>
      <c r="G84" s="38">
        <f>AVERAGE(G9:G77)</f>
        <v>7.6956521739130439</v>
      </c>
      <c r="H84" s="38">
        <f>AVERAGE(H9:H77)</f>
        <v>2.7971014492753623</v>
      </c>
      <c r="I84" s="3"/>
      <c r="J84" s="3"/>
      <c r="K84" s="3"/>
      <c r="L84" s="3"/>
      <c r="M84" s="3"/>
      <c r="N84" s="37" t="s">
        <v>11</v>
      </c>
      <c r="O84" s="3"/>
      <c r="P84" s="38">
        <f>AVERAGE(P9:P77)</f>
        <v>98.415322580645167</v>
      </c>
      <c r="Q84" s="38">
        <f>AVERAGE(Q9:Q77)</f>
        <v>13.096774193548388</v>
      </c>
      <c r="R84" s="38">
        <f>AVERAGE(R9:R77)</f>
        <v>6.4516129032258063E-2</v>
      </c>
      <c r="S84" s="3"/>
    </row>
    <row r="85" spans="1:19" ht="15" customHeight="1" x14ac:dyDescent="0.2">
      <c r="A85" s="3"/>
      <c r="B85" s="3"/>
      <c r="C85" s="3"/>
      <c r="D85" s="37" t="s">
        <v>27</v>
      </c>
      <c r="E85" s="3"/>
      <c r="F85" s="38">
        <f>STDEV(F9:F77)</f>
        <v>2.1788137429604229</v>
      </c>
      <c r="G85" s="38">
        <f>STDEV(G9:G77)</f>
        <v>1.9874928621853847</v>
      </c>
      <c r="H85" s="38">
        <f>STDEV(H9:H77)</f>
        <v>1.795252809863112</v>
      </c>
      <c r="I85" s="3"/>
      <c r="J85" s="3"/>
      <c r="K85" s="3"/>
      <c r="L85" s="3"/>
      <c r="M85" s="3"/>
      <c r="N85" s="37" t="s">
        <v>27</v>
      </c>
      <c r="O85" s="3"/>
      <c r="P85" s="38">
        <f>STDEV(P9:P77)</f>
        <v>66.024220014951766</v>
      </c>
      <c r="Q85" s="38">
        <f>STDEV(Q9:Q77)</f>
        <v>4.2684879551880446</v>
      </c>
      <c r="R85" s="38">
        <f>STDEV(R9:R77)</f>
        <v>0.24767560367065308</v>
      </c>
      <c r="S85" s="3"/>
    </row>
  </sheetData>
  <hyperlinks>
    <hyperlink ref="B2" r:id="rId1" xr:uid="{00000000-0004-0000-0100-000000000000}"/>
  </hyperlinks>
  <pageMargins left="0.7" right="0.7" top="0.75" bottom="0.75" header="0.3" footer="0.3"/>
  <pageSetup orientation="portrait"/>
  <headerFooter>
    <oddFooter>&amp;C&amp;"Helvetica Neue,Regular"&amp;12&amp;K000000&amp;P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85"/>
  <sheetViews>
    <sheetView showGridLines="0" workbookViewId="0"/>
  </sheetViews>
  <sheetFormatPr baseColWidth="10" defaultColWidth="8.83203125" defaultRowHeight="15" customHeight="1" x14ac:dyDescent="0.2"/>
  <cols>
    <col min="1" max="1" width="14.5" style="43" customWidth="1"/>
    <col min="2" max="3" width="8.83203125" style="43" customWidth="1"/>
    <col min="4" max="4" width="12.6640625" style="43" customWidth="1"/>
    <col min="5" max="8" width="8.83203125" style="43" customWidth="1"/>
    <col min="9" max="9" width="26.5" style="43" customWidth="1"/>
    <col min="10" max="14" width="8.83203125" style="43" customWidth="1"/>
    <col min="15" max="15" width="5" style="43" customWidth="1"/>
    <col min="16" max="16" width="13.83203125" style="43" customWidth="1"/>
    <col min="17" max="17" width="17.6640625" style="43" customWidth="1"/>
    <col min="18" max="18" width="13.5" style="43" customWidth="1"/>
    <col min="19" max="256" width="8.83203125" style="43" customWidth="1"/>
  </cols>
  <sheetData>
    <row r="1" spans="1:19" ht="15" customHeight="1" x14ac:dyDescent="0.2">
      <c r="A1" s="2" t="s">
        <v>0</v>
      </c>
      <c r="B1" s="2" t="s">
        <v>1</v>
      </c>
      <c r="C1" s="3"/>
      <c r="D1" s="3"/>
      <c r="E1" s="2" t="s">
        <v>2</v>
      </c>
      <c r="F1" s="2" t="s">
        <v>32</v>
      </c>
      <c r="G1" s="3"/>
      <c r="H1" s="3"/>
      <c r="I1" s="3"/>
      <c r="J1" s="2" t="s">
        <v>4</v>
      </c>
      <c r="K1" s="3"/>
      <c r="L1" s="3"/>
      <c r="M1" s="3"/>
      <c r="N1" s="3"/>
      <c r="O1" s="3"/>
      <c r="P1" s="3"/>
      <c r="Q1" s="3"/>
      <c r="R1" s="3"/>
      <c r="S1" s="3"/>
    </row>
    <row r="2" spans="1:19" ht="15" customHeight="1" x14ac:dyDescent="0.2">
      <c r="A2" s="2" t="s">
        <v>5</v>
      </c>
      <c r="B2" s="2" t="s">
        <v>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5" customHeight="1" x14ac:dyDescent="0.2">
      <c r="A4" s="3"/>
      <c r="B4" s="3"/>
      <c r="C4" s="4" t="s">
        <v>7</v>
      </c>
      <c r="D4" s="3"/>
      <c r="E4" s="3"/>
      <c r="F4" s="3"/>
      <c r="G4" s="4" t="s">
        <v>8</v>
      </c>
      <c r="H4" s="3"/>
      <c r="I4" s="3"/>
      <c r="J4" s="3"/>
      <c r="K4" s="3"/>
      <c r="L4" s="3"/>
      <c r="M4" s="3"/>
      <c r="N4" s="3"/>
      <c r="O4" s="3"/>
      <c r="P4" s="3"/>
      <c r="Q4" s="4" t="s">
        <v>9</v>
      </c>
      <c r="R4" s="3"/>
      <c r="S4" s="3"/>
    </row>
    <row r="5" spans="1:19" ht="15" customHeight="1" x14ac:dyDescent="0.2">
      <c r="A5" s="3"/>
      <c r="B5" s="3"/>
      <c r="C5" s="3"/>
      <c r="D5" s="3"/>
      <c r="E5" s="3"/>
      <c r="F5" s="3"/>
      <c r="G5" s="3"/>
      <c r="H5" s="3"/>
      <c r="I5" s="3"/>
      <c r="J5" s="2" t="s">
        <v>10</v>
      </c>
      <c r="K5" s="2" t="s">
        <v>10</v>
      </c>
      <c r="L5" s="2" t="s">
        <v>10</v>
      </c>
      <c r="M5" s="3"/>
      <c r="N5" s="3"/>
      <c r="O5" s="3"/>
      <c r="P5" s="3"/>
      <c r="Q5" s="3"/>
      <c r="R5" s="3"/>
      <c r="S5" s="3"/>
    </row>
    <row r="6" spans="1:19" ht="15" customHeight="1" x14ac:dyDescent="0.2">
      <c r="A6" s="3"/>
      <c r="B6" s="3"/>
      <c r="C6" s="3"/>
      <c r="D6" s="3"/>
      <c r="E6" s="3"/>
      <c r="F6" s="5" t="s">
        <v>11</v>
      </c>
      <c r="G6" s="5" t="s">
        <v>11</v>
      </c>
      <c r="H6" s="5" t="s">
        <v>11</v>
      </c>
      <c r="I6" s="2" t="s">
        <v>12</v>
      </c>
      <c r="J6" s="5" t="s">
        <v>11</v>
      </c>
      <c r="K6" s="5" t="s">
        <v>11</v>
      </c>
      <c r="L6" s="5" t="s">
        <v>11</v>
      </c>
      <c r="M6" s="6"/>
      <c r="N6" s="3"/>
      <c r="O6" s="3"/>
      <c r="P6" s="5" t="s">
        <v>13</v>
      </c>
      <c r="Q6" s="5" t="s">
        <v>14</v>
      </c>
      <c r="R6" s="5" t="s">
        <v>15</v>
      </c>
      <c r="S6" s="3"/>
    </row>
    <row r="7" spans="1:19" ht="15" customHeight="1" x14ac:dyDescent="0.2">
      <c r="A7" s="7"/>
      <c r="B7" s="7"/>
      <c r="C7" s="8" t="s">
        <v>16</v>
      </c>
      <c r="D7" s="8" t="s">
        <v>17</v>
      </c>
      <c r="E7" s="7"/>
      <c r="F7" s="9" t="s">
        <v>18</v>
      </c>
      <c r="G7" s="9" t="s">
        <v>19</v>
      </c>
      <c r="H7" s="9" t="s">
        <v>20</v>
      </c>
      <c r="I7" s="9" t="s">
        <v>33</v>
      </c>
      <c r="J7" s="9" t="s">
        <v>18</v>
      </c>
      <c r="K7" s="9" t="s">
        <v>19</v>
      </c>
      <c r="L7" s="9" t="s">
        <v>20</v>
      </c>
      <c r="M7" s="10"/>
      <c r="N7" s="8" t="s">
        <v>17</v>
      </c>
      <c r="O7" s="7"/>
      <c r="P7" s="9" t="s">
        <v>30</v>
      </c>
      <c r="Q7" s="9" t="s">
        <v>23</v>
      </c>
      <c r="R7" s="9" t="s">
        <v>31</v>
      </c>
      <c r="S7" s="7"/>
    </row>
    <row r="8" spans="1:19" ht="15" customHeight="1" x14ac:dyDescent="0.2">
      <c r="A8" s="40"/>
      <c r="B8" s="41"/>
      <c r="C8" s="41"/>
      <c r="D8" s="41"/>
      <c r="E8" s="41"/>
      <c r="F8" s="44"/>
      <c r="G8" s="44"/>
      <c r="H8" s="44"/>
      <c r="I8" s="41"/>
      <c r="J8" s="41"/>
      <c r="K8" s="41"/>
      <c r="L8" s="41"/>
      <c r="M8" s="41"/>
      <c r="N8" s="41"/>
      <c r="O8" s="41"/>
      <c r="P8" s="41"/>
      <c r="Q8" s="41"/>
      <c r="R8" s="41"/>
      <c r="S8" s="42"/>
    </row>
    <row r="9" spans="1:19" ht="15" customHeight="1" x14ac:dyDescent="0.2">
      <c r="A9" s="15"/>
      <c r="B9" s="15"/>
      <c r="C9" s="16">
        <v>1950</v>
      </c>
      <c r="D9" s="16">
        <v>1950</v>
      </c>
      <c r="E9" s="17"/>
      <c r="F9" s="18">
        <v>26</v>
      </c>
      <c r="G9" s="19">
        <v>21</v>
      </c>
      <c r="H9" s="20">
        <v>16</v>
      </c>
      <c r="I9" s="21">
        <v>0</v>
      </c>
      <c r="J9" s="16">
        <f>SUM(F9:F18)/8</f>
        <v>32.5</v>
      </c>
      <c r="K9" s="16">
        <f>SUM(G9:G18)/8</f>
        <v>26.5</v>
      </c>
      <c r="L9" s="16">
        <f>SUM(H9:H18)/8</f>
        <v>20.5</v>
      </c>
      <c r="M9" s="15"/>
      <c r="N9" s="16">
        <v>1950</v>
      </c>
      <c r="O9" s="15"/>
      <c r="P9" s="15"/>
      <c r="Q9" s="15"/>
      <c r="R9" s="15"/>
      <c r="S9" s="15"/>
    </row>
    <row r="10" spans="1:19" ht="15" customHeight="1" x14ac:dyDescent="0.2">
      <c r="A10" s="3"/>
      <c r="B10" s="3"/>
      <c r="C10" s="3"/>
      <c r="D10" s="22">
        <v>1951</v>
      </c>
      <c r="E10" s="23"/>
      <c r="F10" s="24">
        <v>26</v>
      </c>
      <c r="G10" s="25">
        <v>21</v>
      </c>
      <c r="H10" s="26">
        <v>17</v>
      </c>
      <c r="I10" s="27">
        <v>0</v>
      </c>
      <c r="J10" s="3"/>
      <c r="K10" s="3"/>
      <c r="L10" s="3"/>
      <c r="M10" s="3"/>
      <c r="N10" s="22">
        <v>1951</v>
      </c>
      <c r="O10" s="3"/>
      <c r="P10" s="3"/>
      <c r="Q10" s="3"/>
      <c r="R10" s="3"/>
      <c r="S10" s="3"/>
    </row>
    <row r="11" spans="1:19" ht="15" customHeight="1" x14ac:dyDescent="0.2">
      <c r="A11" s="3"/>
      <c r="B11" s="3"/>
      <c r="C11" s="3"/>
      <c r="D11" s="22">
        <v>1952</v>
      </c>
      <c r="E11" s="23"/>
      <c r="F11" s="24">
        <v>29</v>
      </c>
      <c r="G11" s="25">
        <v>23</v>
      </c>
      <c r="H11" s="26">
        <v>18</v>
      </c>
      <c r="I11" s="27">
        <v>0</v>
      </c>
      <c r="J11" s="3"/>
      <c r="K11" s="3"/>
      <c r="L11" s="3"/>
      <c r="M11" s="3"/>
      <c r="N11" s="22">
        <v>1952</v>
      </c>
      <c r="O11" s="3"/>
      <c r="P11" s="3"/>
      <c r="Q11" s="3"/>
      <c r="R11" s="3"/>
      <c r="S11" s="3"/>
    </row>
    <row r="12" spans="1:19" ht="15" customHeight="1" x14ac:dyDescent="0.2">
      <c r="A12" s="3"/>
      <c r="B12" s="3"/>
      <c r="C12" s="3"/>
      <c r="D12" s="22">
        <v>1953</v>
      </c>
      <c r="E12" s="23"/>
      <c r="F12" s="24">
        <v>26</v>
      </c>
      <c r="G12" s="25">
        <v>21</v>
      </c>
      <c r="H12" s="26">
        <v>16</v>
      </c>
      <c r="I12" s="27">
        <v>0</v>
      </c>
      <c r="J12" s="3"/>
      <c r="K12" s="3"/>
      <c r="L12" s="3"/>
      <c r="M12" s="3"/>
      <c r="N12" s="22">
        <v>1953</v>
      </c>
      <c r="O12" s="3"/>
      <c r="P12" s="3"/>
      <c r="Q12" s="3"/>
      <c r="R12" s="3"/>
      <c r="S12" s="3"/>
    </row>
    <row r="13" spans="1:19" ht="15" customHeight="1" x14ac:dyDescent="0.2">
      <c r="A13" s="3"/>
      <c r="B13" s="3"/>
      <c r="C13" s="3"/>
      <c r="D13" s="22">
        <v>1954</v>
      </c>
      <c r="E13" s="23"/>
      <c r="F13" s="24">
        <v>25</v>
      </c>
      <c r="G13" s="25">
        <v>20</v>
      </c>
      <c r="H13" s="26">
        <v>15</v>
      </c>
      <c r="I13" s="27">
        <v>0</v>
      </c>
      <c r="J13" s="3"/>
      <c r="K13" s="3"/>
      <c r="L13" s="3"/>
      <c r="M13" s="3"/>
      <c r="N13" s="22">
        <v>1954</v>
      </c>
      <c r="O13" s="3"/>
      <c r="P13" s="3"/>
      <c r="Q13" s="3"/>
      <c r="R13" s="3"/>
      <c r="S13" s="3"/>
    </row>
    <row r="14" spans="1:19" ht="15" customHeight="1" x14ac:dyDescent="0.2">
      <c r="A14" s="3"/>
      <c r="B14" s="3"/>
      <c r="C14" s="3"/>
      <c r="D14" s="22">
        <v>1955</v>
      </c>
      <c r="E14" s="23"/>
      <c r="F14" s="24">
        <v>28</v>
      </c>
      <c r="G14" s="25">
        <v>23</v>
      </c>
      <c r="H14" s="26">
        <v>18</v>
      </c>
      <c r="I14" s="27">
        <v>0</v>
      </c>
      <c r="J14" s="3"/>
      <c r="K14" s="3"/>
      <c r="L14" s="3"/>
      <c r="M14" s="3"/>
      <c r="N14" s="22">
        <v>1955</v>
      </c>
      <c r="O14" s="3"/>
      <c r="P14" s="3"/>
      <c r="Q14" s="3"/>
      <c r="R14" s="3"/>
      <c r="S14" s="3"/>
    </row>
    <row r="15" spans="1:19" ht="15" customHeight="1" x14ac:dyDescent="0.2">
      <c r="A15" s="3"/>
      <c r="B15" s="3"/>
      <c r="C15" s="3"/>
      <c r="D15" s="22">
        <v>1956</v>
      </c>
      <c r="E15" s="23"/>
      <c r="F15" s="24">
        <v>24</v>
      </c>
      <c r="G15" s="25">
        <v>20</v>
      </c>
      <c r="H15" s="26">
        <v>15</v>
      </c>
      <c r="I15" s="27">
        <v>0</v>
      </c>
      <c r="J15" s="3"/>
      <c r="K15" s="3"/>
      <c r="L15" s="3"/>
      <c r="M15" s="3"/>
      <c r="N15" s="22">
        <v>1956</v>
      </c>
      <c r="O15" s="3"/>
      <c r="P15" s="3"/>
      <c r="Q15" s="3"/>
      <c r="R15" s="3"/>
      <c r="S15" s="3"/>
    </row>
    <row r="16" spans="1:19" ht="15" customHeight="1" x14ac:dyDescent="0.2">
      <c r="A16" s="3"/>
      <c r="B16" s="3"/>
      <c r="C16" s="3"/>
      <c r="D16" s="22">
        <v>1957</v>
      </c>
      <c r="E16" s="23"/>
      <c r="F16" s="24">
        <v>26</v>
      </c>
      <c r="G16" s="25">
        <v>21</v>
      </c>
      <c r="H16" s="26">
        <v>15</v>
      </c>
      <c r="I16" s="27">
        <v>0</v>
      </c>
      <c r="J16" s="3"/>
      <c r="K16" s="3"/>
      <c r="L16" s="3"/>
      <c r="M16" s="3"/>
      <c r="N16" s="22">
        <v>1957</v>
      </c>
      <c r="O16" s="3"/>
      <c r="P16" s="22">
        <v>25.14</v>
      </c>
      <c r="Q16" s="22">
        <v>9</v>
      </c>
      <c r="R16" s="22">
        <v>0</v>
      </c>
      <c r="S16" s="3"/>
    </row>
    <row r="17" spans="1:19" ht="15" customHeight="1" x14ac:dyDescent="0.2">
      <c r="A17" s="3"/>
      <c r="B17" s="3"/>
      <c r="C17" s="3"/>
      <c r="D17" s="22">
        <v>1958</v>
      </c>
      <c r="E17" s="23"/>
      <c r="F17" s="24">
        <v>24</v>
      </c>
      <c r="G17" s="25">
        <v>20</v>
      </c>
      <c r="H17" s="26">
        <v>17</v>
      </c>
      <c r="I17" s="27">
        <v>0</v>
      </c>
      <c r="J17" s="3"/>
      <c r="K17" s="3"/>
      <c r="L17" s="3"/>
      <c r="M17" s="3"/>
      <c r="N17" s="22">
        <v>1958</v>
      </c>
      <c r="O17" s="3"/>
      <c r="P17" s="22">
        <v>141.71</v>
      </c>
      <c r="Q17" s="22">
        <v>18</v>
      </c>
      <c r="R17" s="22">
        <v>0</v>
      </c>
      <c r="S17" s="3"/>
    </row>
    <row r="18" spans="1:19" ht="15" customHeight="1" x14ac:dyDescent="0.2">
      <c r="A18" s="3"/>
      <c r="B18" s="3"/>
      <c r="C18" s="3"/>
      <c r="D18" s="22">
        <v>1959</v>
      </c>
      <c r="E18" s="23"/>
      <c r="F18" s="24">
        <v>26</v>
      </c>
      <c r="G18" s="25">
        <v>22</v>
      </c>
      <c r="H18" s="26">
        <v>17</v>
      </c>
      <c r="I18" s="27">
        <v>0</v>
      </c>
      <c r="J18" s="3"/>
      <c r="K18" s="3"/>
      <c r="L18" s="3"/>
      <c r="M18" s="3"/>
      <c r="N18" s="22">
        <v>1959</v>
      </c>
      <c r="O18" s="3"/>
      <c r="P18" s="22">
        <v>20.61</v>
      </c>
      <c r="Q18" s="22">
        <v>10</v>
      </c>
      <c r="R18" s="22">
        <v>0</v>
      </c>
      <c r="S18" s="3"/>
    </row>
    <row r="19" spans="1:19" ht="15" customHeight="1" x14ac:dyDescent="0.2">
      <c r="A19" s="3"/>
      <c r="B19" s="3"/>
      <c r="C19" s="22">
        <v>1960</v>
      </c>
      <c r="D19" s="22">
        <v>1960</v>
      </c>
      <c r="E19" s="23"/>
      <c r="F19" s="24">
        <v>24</v>
      </c>
      <c r="G19" s="25">
        <v>20</v>
      </c>
      <c r="H19" s="26">
        <v>15</v>
      </c>
      <c r="I19" s="27">
        <v>0</v>
      </c>
      <c r="J19" s="22">
        <f>SUM(F19:F28)/10</f>
        <v>25.3</v>
      </c>
      <c r="K19" s="22">
        <f>SUM(G19:G28)/10</f>
        <v>20.7</v>
      </c>
      <c r="L19" s="22">
        <f>SUM(H19:H28)/10</f>
        <v>16.100000000000001</v>
      </c>
      <c r="M19" s="3"/>
      <c r="N19" s="22">
        <v>1960</v>
      </c>
      <c r="O19" s="3"/>
      <c r="P19" s="22">
        <v>180.34</v>
      </c>
      <c r="Q19" s="22">
        <v>12</v>
      </c>
      <c r="R19" s="22">
        <v>0</v>
      </c>
      <c r="S19" s="3"/>
    </row>
    <row r="20" spans="1:19" ht="15" customHeight="1" x14ac:dyDescent="0.2">
      <c r="A20" s="3"/>
      <c r="B20" s="3"/>
      <c r="C20" s="3"/>
      <c r="D20" s="22">
        <v>1961</v>
      </c>
      <c r="E20" s="23"/>
      <c r="F20" s="24">
        <v>25</v>
      </c>
      <c r="G20" s="25">
        <v>21</v>
      </c>
      <c r="H20" s="26">
        <v>17</v>
      </c>
      <c r="I20" s="27">
        <v>0</v>
      </c>
      <c r="J20" s="3"/>
      <c r="K20" s="3"/>
      <c r="L20" s="3"/>
      <c r="M20" s="3"/>
      <c r="N20" s="22">
        <v>1961</v>
      </c>
      <c r="O20" s="3"/>
      <c r="P20" s="22">
        <v>111.51</v>
      </c>
      <c r="Q20" s="22">
        <v>13</v>
      </c>
      <c r="R20" s="22">
        <v>0</v>
      </c>
      <c r="S20" s="3"/>
    </row>
    <row r="21" spans="1:19" ht="15" customHeight="1" x14ac:dyDescent="0.2">
      <c r="A21" s="3"/>
      <c r="B21" s="3"/>
      <c r="C21" s="3"/>
      <c r="D21" s="22">
        <v>1962</v>
      </c>
      <c r="E21" s="23"/>
      <c r="F21" s="24">
        <v>24</v>
      </c>
      <c r="G21" s="25">
        <v>19</v>
      </c>
      <c r="H21" s="26">
        <v>14</v>
      </c>
      <c r="I21" s="27">
        <v>0</v>
      </c>
      <c r="J21" s="3"/>
      <c r="K21" s="3"/>
      <c r="L21" s="3"/>
      <c r="M21" s="3"/>
      <c r="N21" s="22">
        <v>1962</v>
      </c>
      <c r="O21" s="3"/>
      <c r="P21" s="22">
        <v>50.03</v>
      </c>
      <c r="Q21" s="22">
        <v>11</v>
      </c>
      <c r="R21" s="22">
        <v>0</v>
      </c>
      <c r="S21" s="3"/>
    </row>
    <row r="22" spans="1:19" ht="15" customHeight="1" x14ac:dyDescent="0.2">
      <c r="A22" s="3"/>
      <c r="B22" s="3"/>
      <c r="C22" s="3"/>
      <c r="D22" s="22">
        <v>1963</v>
      </c>
      <c r="E22" s="23"/>
      <c r="F22" s="24">
        <v>26</v>
      </c>
      <c r="G22" s="25">
        <v>21</v>
      </c>
      <c r="H22" s="26">
        <v>16</v>
      </c>
      <c r="I22" s="27">
        <v>0</v>
      </c>
      <c r="J22" s="3"/>
      <c r="K22" s="3"/>
      <c r="L22" s="3"/>
      <c r="M22" s="3"/>
      <c r="N22" s="22">
        <v>1963</v>
      </c>
      <c r="O22" s="3"/>
      <c r="P22" s="22">
        <v>46.99</v>
      </c>
      <c r="Q22" s="22">
        <v>9</v>
      </c>
      <c r="R22" s="22">
        <v>0</v>
      </c>
      <c r="S22" s="3"/>
    </row>
    <row r="23" spans="1:19" ht="15" customHeight="1" x14ac:dyDescent="0.2">
      <c r="A23" s="3"/>
      <c r="B23" s="3"/>
      <c r="C23" s="3"/>
      <c r="D23" s="22">
        <v>1964</v>
      </c>
      <c r="E23" s="23"/>
      <c r="F23" s="24">
        <v>25</v>
      </c>
      <c r="G23" s="25">
        <v>20</v>
      </c>
      <c r="H23" s="26">
        <v>16</v>
      </c>
      <c r="I23" s="27">
        <v>0</v>
      </c>
      <c r="J23" s="3"/>
      <c r="K23" s="3"/>
      <c r="L23" s="3"/>
      <c r="M23" s="3"/>
      <c r="N23" s="22">
        <v>1964</v>
      </c>
      <c r="O23" s="3"/>
      <c r="P23" s="22">
        <v>76.2</v>
      </c>
      <c r="Q23" s="22">
        <v>12</v>
      </c>
      <c r="R23" s="22">
        <v>0</v>
      </c>
      <c r="S23" s="3"/>
    </row>
    <row r="24" spans="1:19" ht="15" customHeight="1" x14ac:dyDescent="0.2">
      <c r="A24" s="3"/>
      <c r="B24" s="3"/>
      <c r="C24" s="3"/>
      <c r="D24" s="22">
        <v>1965</v>
      </c>
      <c r="E24" s="23"/>
      <c r="F24" s="24">
        <v>25</v>
      </c>
      <c r="G24" s="25">
        <v>20</v>
      </c>
      <c r="H24" s="26">
        <v>15</v>
      </c>
      <c r="I24" s="27">
        <v>0</v>
      </c>
      <c r="J24" s="3"/>
      <c r="K24" s="3"/>
      <c r="L24" s="3"/>
      <c r="M24" s="3"/>
      <c r="N24" s="22">
        <v>1965</v>
      </c>
      <c r="O24" s="3"/>
      <c r="P24" s="22">
        <v>13.45</v>
      </c>
      <c r="Q24" s="22">
        <v>7</v>
      </c>
      <c r="R24" s="22">
        <v>0</v>
      </c>
      <c r="S24" s="3"/>
    </row>
    <row r="25" spans="1:19" ht="15" customHeight="1" x14ac:dyDescent="0.2">
      <c r="A25" s="3"/>
      <c r="B25" s="3"/>
      <c r="C25" s="3"/>
      <c r="D25" s="22">
        <v>1966</v>
      </c>
      <c r="E25" s="23"/>
      <c r="F25" s="24">
        <v>27</v>
      </c>
      <c r="G25" s="25">
        <v>22</v>
      </c>
      <c r="H25" s="26">
        <v>16</v>
      </c>
      <c r="I25" s="27">
        <v>0</v>
      </c>
      <c r="J25" s="3"/>
      <c r="K25" s="3"/>
      <c r="L25" s="3"/>
      <c r="M25" s="3"/>
      <c r="N25" s="22">
        <v>1966</v>
      </c>
      <c r="O25" s="3"/>
      <c r="P25" s="22">
        <v>27.17</v>
      </c>
      <c r="Q25" s="22">
        <v>7</v>
      </c>
      <c r="R25" s="22">
        <v>0</v>
      </c>
      <c r="S25" s="3"/>
    </row>
    <row r="26" spans="1:19" ht="15" customHeight="1" x14ac:dyDescent="0.2">
      <c r="A26" s="3"/>
      <c r="B26" s="3"/>
      <c r="C26" s="3"/>
      <c r="D26" s="22">
        <v>1967</v>
      </c>
      <c r="E26" s="23"/>
      <c r="F26" s="24">
        <v>26</v>
      </c>
      <c r="G26" s="25">
        <v>22</v>
      </c>
      <c r="H26" s="26">
        <v>18</v>
      </c>
      <c r="I26" s="27">
        <v>0</v>
      </c>
      <c r="J26" s="3"/>
      <c r="K26" s="3"/>
      <c r="L26" s="3"/>
      <c r="M26" s="3"/>
      <c r="N26" s="22">
        <v>1967</v>
      </c>
      <c r="O26" s="3"/>
      <c r="P26" s="22">
        <v>63.5</v>
      </c>
      <c r="Q26" s="22">
        <v>10</v>
      </c>
      <c r="R26" s="22">
        <v>0</v>
      </c>
      <c r="S26" s="3"/>
    </row>
    <row r="27" spans="1:19" ht="15" customHeight="1" x14ac:dyDescent="0.2">
      <c r="A27" s="3"/>
      <c r="B27" s="3"/>
      <c r="C27" s="3"/>
      <c r="D27" s="22">
        <v>1968</v>
      </c>
      <c r="E27" s="23"/>
      <c r="F27" s="24">
        <v>27</v>
      </c>
      <c r="G27" s="25">
        <v>22</v>
      </c>
      <c r="H27" s="26">
        <v>17</v>
      </c>
      <c r="I27" s="27">
        <v>0</v>
      </c>
      <c r="J27" s="3"/>
      <c r="K27" s="3"/>
      <c r="L27" s="3"/>
      <c r="M27" s="3"/>
      <c r="N27" s="22">
        <v>1968</v>
      </c>
      <c r="O27" s="3"/>
      <c r="P27" s="22">
        <v>2.78</v>
      </c>
      <c r="Q27" s="22">
        <v>6</v>
      </c>
      <c r="R27" s="22">
        <v>0</v>
      </c>
      <c r="S27" s="3"/>
    </row>
    <row r="28" spans="1:19" ht="15" customHeight="1" x14ac:dyDescent="0.2">
      <c r="A28" s="3"/>
      <c r="B28" s="3"/>
      <c r="C28" s="3"/>
      <c r="D28" s="22">
        <v>1969</v>
      </c>
      <c r="E28" s="23"/>
      <c r="F28" s="24">
        <v>24</v>
      </c>
      <c r="G28" s="25">
        <v>20</v>
      </c>
      <c r="H28" s="26">
        <v>17</v>
      </c>
      <c r="I28" s="27">
        <v>0</v>
      </c>
      <c r="J28" s="3"/>
      <c r="K28" s="3"/>
      <c r="L28" s="3"/>
      <c r="M28" s="3"/>
      <c r="N28" s="22">
        <v>1969</v>
      </c>
      <c r="O28" s="3"/>
      <c r="P28" s="22">
        <v>28.71</v>
      </c>
      <c r="Q28" s="22">
        <v>7</v>
      </c>
      <c r="R28" s="22">
        <v>0</v>
      </c>
      <c r="S28" s="3"/>
    </row>
    <row r="29" spans="1:19" ht="15" customHeight="1" x14ac:dyDescent="0.2">
      <c r="A29" s="3"/>
      <c r="B29" s="3"/>
      <c r="C29" s="22">
        <v>1970</v>
      </c>
      <c r="D29" s="22">
        <v>1970</v>
      </c>
      <c r="E29" s="23"/>
      <c r="F29" s="24">
        <v>26</v>
      </c>
      <c r="G29" s="25">
        <v>22</v>
      </c>
      <c r="H29" s="26">
        <v>17</v>
      </c>
      <c r="I29" s="27">
        <v>0</v>
      </c>
      <c r="J29" s="22">
        <f>SUM(F29:F38)/4</f>
        <v>64.25</v>
      </c>
      <c r="K29" s="22">
        <f>SUM(G29:G38)/4</f>
        <v>52.75</v>
      </c>
      <c r="L29" s="22">
        <f>SUM(H29:H38)/4</f>
        <v>42</v>
      </c>
      <c r="M29" s="3"/>
      <c r="N29" s="22">
        <v>1970</v>
      </c>
      <c r="O29" s="3"/>
      <c r="P29" s="22">
        <v>17.78</v>
      </c>
      <c r="Q29" s="22">
        <v>2</v>
      </c>
      <c r="R29" s="22">
        <v>0</v>
      </c>
      <c r="S29" s="3"/>
    </row>
    <row r="30" spans="1:19" ht="15" customHeight="1" x14ac:dyDescent="0.2">
      <c r="A30" s="3"/>
      <c r="B30" s="3"/>
      <c r="C30" s="3"/>
      <c r="D30" s="22">
        <v>1971</v>
      </c>
      <c r="E30" s="23"/>
      <c r="F30" s="24">
        <v>27</v>
      </c>
      <c r="G30" s="25">
        <v>21</v>
      </c>
      <c r="H30" s="26">
        <v>17</v>
      </c>
      <c r="I30" s="27">
        <v>0</v>
      </c>
      <c r="J30" s="3"/>
      <c r="K30" s="3"/>
      <c r="L30" s="3"/>
      <c r="M30" s="3"/>
      <c r="N30" s="22">
        <v>1971</v>
      </c>
      <c r="O30" s="3"/>
      <c r="P30" s="22">
        <v>40.89</v>
      </c>
      <c r="Q30" s="22">
        <v>8</v>
      </c>
      <c r="R30" s="22">
        <v>0</v>
      </c>
      <c r="S30" s="3"/>
    </row>
    <row r="31" spans="1:19" ht="15" customHeight="1" x14ac:dyDescent="0.2">
      <c r="A31" s="3"/>
      <c r="B31" s="3"/>
      <c r="C31" s="3"/>
      <c r="D31" s="22">
        <v>1972</v>
      </c>
      <c r="E31" s="23"/>
      <c r="F31" s="24">
        <v>26</v>
      </c>
      <c r="G31" s="25">
        <v>22</v>
      </c>
      <c r="H31" s="26">
        <v>18</v>
      </c>
      <c r="I31" s="27">
        <v>0</v>
      </c>
      <c r="J31" s="3"/>
      <c r="K31" s="3"/>
      <c r="L31" s="3"/>
      <c r="M31" s="3"/>
      <c r="N31" s="22">
        <v>1972</v>
      </c>
      <c r="O31" s="3"/>
      <c r="P31" s="22">
        <v>15.5</v>
      </c>
      <c r="Q31" s="22">
        <v>7</v>
      </c>
      <c r="R31" s="22">
        <v>0</v>
      </c>
      <c r="S31" s="3"/>
    </row>
    <row r="32" spans="1:19" ht="15" customHeight="1" x14ac:dyDescent="0.2">
      <c r="A32" s="3"/>
      <c r="B32" s="3"/>
      <c r="C32" s="3"/>
      <c r="D32" s="22">
        <v>1973</v>
      </c>
      <c r="E32" s="23"/>
      <c r="F32" s="24">
        <v>26</v>
      </c>
      <c r="G32" s="25">
        <v>21</v>
      </c>
      <c r="H32" s="26">
        <v>17</v>
      </c>
      <c r="I32" s="27">
        <v>0</v>
      </c>
      <c r="J32" s="3"/>
      <c r="K32" s="3"/>
      <c r="L32" s="3"/>
      <c r="M32" s="3"/>
      <c r="N32" s="22">
        <v>1973</v>
      </c>
      <c r="O32" s="3"/>
      <c r="P32" s="22">
        <v>130.29</v>
      </c>
      <c r="Q32" s="22">
        <v>11</v>
      </c>
      <c r="R32" s="22">
        <v>0</v>
      </c>
      <c r="S32" s="3"/>
    </row>
    <row r="33" spans="1:19" ht="15" customHeight="1" x14ac:dyDescent="0.2">
      <c r="A33" s="3"/>
      <c r="B33" s="3"/>
      <c r="C33" s="3"/>
      <c r="D33" s="22">
        <v>1974</v>
      </c>
      <c r="E33" s="23"/>
      <c r="F33" s="24">
        <v>26</v>
      </c>
      <c r="G33" s="25">
        <v>21</v>
      </c>
      <c r="H33" s="26">
        <v>17</v>
      </c>
      <c r="I33" s="27">
        <v>0</v>
      </c>
      <c r="J33" s="3"/>
      <c r="K33" s="3"/>
      <c r="L33" s="3"/>
      <c r="M33" s="3"/>
      <c r="N33" s="22">
        <v>1974</v>
      </c>
      <c r="O33" s="3"/>
      <c r="P33" s="22">
        <v>208.03</v>
      </c>
      <c r="Q33" s="22">
        <v>8</v>
      </c>
      <c r="R33" s="22">
        <v>1</v>
      </c>
      <c r="S33" s="3"/>
    </row>
    <row r="34" spans="1:19" ht="15" customHeight="1" x14ac:dyDescent="0.2">
      <c r="A34" s="3"/>
      <c r="B34" s="3"/>
      <c r="C34" s="3"/>
      <c r="D34" s="22">
        <v>1975</v>
      </c>
      <c r="E34" s="23"/>
      <c r="F34" s="24">
        <v>26</v>
      </c>
      <c r="G34" s="25">
        <v>22</v>
      </c>
      <c r="H34" s="26">
        <v>18</v>
      </c>
      <c r="I34" s="27">
        <v>0</v>
      </c>
      <c r="J34" s="3"/>
      <c r="K34" s="3"/>
      <c r="L34" s="3"/>
      <c r="M34" s="3"/>
      <c r="N34" s="22">
        <v>1975</v>
      </c>
      <c r="O34" s="3"/>
      <c r="P34" s="22">
        <v>350.52</v>
      </c>
      <c r="Q34" s="22">
        <v>15</v>
      </c>
      <c r="R34" s="22">
        <v>1</v>
      </c>
      <c r="S34" s="3"/>
    </row>
    <row r="35" spans="1:19" ht="15" customHeight="1" x14ac:dyDescent="0.2">
      <c r="A35" s="3"/>
      <c r="B35" s="3"/>
      <c r="C35" s="3"/>
      <c r="D35" s="22">
        <v>1976</v>
      </c>
      <c r="E35" s="23"/>
      <c r="F35" s="24">
        <v>24</v>
      </c>
      <c r="G35" s="25">
        <v>20</v>
      </c>
      <c r="H35" s="26">
        <v>16</v>
      </c>
      <c r="I35" s="27">
        <v>0</v>
      </c>
      <c r="J35" s="3"/>
      <c r="K35" s="3"/>
      <c r="L35" s="3"/>
      <c r="M35" s="3"/>
      <c r="N35" s="22">
        <v>1976</v>
      </c>
      <c r="O35" s="3"/>
      <c r="P35" s="22">
        <v>44.43</v>
      </c>
      <c r="Q35" s="22">
        <v>9</v>
      </c>
      <c r="R35" s="22">
        <v>0</v>
      </c>
      <c r="S35" s="3"/>
    </row>
    <row r="36" spans="1:19" ht="15" customHeight="1" x14ac:dyDescent="0.2">
      <c r="A36" s="3"/>
      <c r="B36" s="3"/>
      <c r="C36" s="3"/>
      <c r="D36" s="22">
        <v>1977</v>
      </c>
      <c r="E36" s="23"/>
      <c r="F36" s="24">
        <v>25</v>
      </c>
      <c r="G36" s="25">
        <v>21</v>
      </c>
      <c r="H36" s="26">
        <v>16</v>
      </c>
      <c r="I36" s="27">
        <v>0</v>
      </c>
      <c r="J36" s="3"/>
      <c r="K36" s="3"/>
      <c r="L36" s="3"/>
      <c r="M36" s="3"/>
      <c r="N36" s="22">
        <v>1977</v>
      </c>
      <c r="O36" s="3"/>
      <c r="P36" s="22">
        <v>312.17</v>
      </c>
      <c r="Q36" s="22">
        <v>12</v>
      </c>
      <c r="R36" s="22">
        <v>1</v>
      </c>
      <c r="S36" s="3"/>
    </row>
    <row r="37" spans="1:19" ht="15" customHeight="1" x14ac:dyDescent="0.2">
      <c r="A37" s="3"/>
      <c r="B37" s="3"/>
      <c r="C37" s="3"/>
      <c r="D37" s="22">
        <v>1978</v>
      </c>
      <c r="E37" s="23"/>
      <c r="F37" s="24">
        <v>25</v>
      </c>
      <c r="G37" s="25">
        <v>20</v>
      </c>
      <c r="H37" s="26">
        <v>15</v>
      </c>
      <c r="I37" s="27">
        <v>0</v>
      </c>
      <c r="J37" s="3"/>
      <c r="K37" s="3"/>
      <c r="L37" s="3"/>
      <c r="M37" s="3"/>
      <c r="N37" s="22">
        <v>1978</v>
      </c>
      <c r="O37" s="3"/>
      <c r="P37" s="22">
        <v>81.290000000000006</v>
      </c>
      <c r="Q37" s="22">
        <v>15</v>
      </c>
      <c r="R37" s="22">
        <v>0</v>
      </c>
      <c r="S37" s="3"/>
    </row>
    <row r="38" spans="1:19" ht="15" customHeight="1" x14ac:dyDescent="0.2">
      <c r="A38" s="3"/>
      <c r="B38" s="3"/>
      <c r="C38" s="3"/>
      <c r="D38" s="22">
        <v>1979</v>
      </c>
      <c r="E38" s="23"/>
      <c r="F38" s="24">
        <v>26</v>
      </c>
      <c r="G38" s="25">
        <v>21</v>
      </c>
      <c r="H38" s="26">
        <v>17</v>
      </c>
      <c r="I38" s="27">
        <v>0</v>
      </c>
      <c r="J38" s="3"/>
      <c r="K38" s="3"/>
      <c r="L38" s="3"/>
      <c r="M38" s="3"/>
      <c r="N38" s="22">
        <v>1979</v>
      </c>
      <c r="O38" s="3"/>
      <c r="P38" s="22">
        <v>155.18</v>
      </c>
      <c r="Q38" s="22">
        <v>13</v>
      </c>
      <c r="R38" s="22">
        <v>0</v>
      </c>
      <c r="S38" s="3"/>
    </row>
    <row r="39" spans="1:19" ht="15" customHeight="1" x14ac:dyDescent="0.2">
      <c r="A39" s="3"/>
      <c r="B39" s="3"/>
      <c r="C39" s="22">
        <v>1980</v>
      </c>
      <c r="D39" s="22">
        <v>1980</v>
      </c>
      <c r="E39" s="23"/>
      <c r="F39" s="24">
        <v>27</v>
      </c>
      <c r="G39" s="25">
        <v>22</v>
      </c>
      <c r="H39" s="26">
        <v>17</v>
      </c>
      <c r="I39" s="27">
        <v>0</v>
      </c>
      <c r="J39" s="22">
        <f>SUM(F39:F48)/10</f>
        <v>26.1</v>
      </c>
      <c r="K39" s="22">
        <f>SUM(G39:G48)/10</f>
        <v>21.3</v>
      </c>
      <c r="L39" s="22">
        <f>SUM(H39:H48)/10</f>
        <v>16.899999999999999</v>
      </c>
      <c r="M39" s="3"/>
      <c r="N39" s="22">
        <v>1980</v>
      </c>
      <c r="O39" s="3"/>
      <c r="P39" s="22">
        <v>114.82</v>
      </c>
      <c r="Q39" s="22">
        <v>22</v>
      </c>
      <c r="R39" s="22">
        <v>0</v>
      </c>
      <c r="S39" s="3"/>
    </row>
    <row r="40" spans="1:19" ht="15" customHeight="1" x14ac:dyDescent="0.2">
      <c r="A40" s="3"/>
      <c r="B40" s="3"/>
      <c r="C40" s="3"/>
      <c r="D40" s="22">
        <v>1981</v>
      </c>
      <c r="E40" s="23"/>
      <c r="F40" s="24">
        <v>26</v>
      </c>
      <c r="G40" s="25">
        <v>21</v>
      </c>
      <c r="H40" s="26">
        <v>17</v>
      </c>
      <c r="I40" s="27">
        <v>0</v>
      </c>
      <c r="J40" s="3"/>
      <c r="K40" s="3"/>
      <c r="L40" s="3"/>
      <c r="M40" s="3"/>
      <c r="N40" s="22">
        <v>1981</v>
      </c>
      <c r="O40" s="3"/>
      <c r="P40" s="22">
        <v>196.84</v>
      </c>
      <c r="Q40" s="22">
        <v>13</v>
      </c>
      <c r="R40" s="22">
        <v>0</v>
      </c>
      <c r="S40" s="3"/>
    </row>
    <row r="41" spans="1:19" ht="15" customHeight="1" x14ac:dyDescent="0.2">
      <c r="A41" s="3"/>
      <c r="B41" s="3"/>
      <c r="C41" s="3"/>
      <c r="D41" s="22">
        <v>1982</v>
      </c>
      <c r="E41" s="23"/>
      <c r="F41" s="24">
        <v>27</v>
      </c>
      <c r="G41" s="25">
        <v>22</v>
      </c>
      <c r="H41" s="26">
        <v>17</v>
      </c>
      <c r="I41" s="27">
        <v>0</v>
      </c>
      <c r="J41" s="3"/>
      <c r="K41" s="3"/>
      <c r="L41" s="3"/>
      <c r="M41" s="3"/>
      <c r="N41" s="22">
        <v>1982</v>
      </c>
      <c r="O41" s="3"/>
      <c r="P41" s="22">
        <v>91.18</v>
      </c>
      <c r="Q41" s="22">
        <v>3</v>
      </c>
      <c r="R41" s="22">
        <v>0</v>
      </c>
      <c r="S41" s="3"/>
    </row>
    <row r="42" spans="1:19" ht="15" customHeight="1" x14ac:dyDescent="0.2">
      <c r="A42" s="3"/>
      <c r="B42" s="3"/>
      <c r="C42" s="3"/>
      <c r="D42" s="22">
        <v>1983</v>
      </c>
      <c r="E42" s="23"/>
      <c r="F42" s="24">
        <v>28</v>
      </c>
      <c r="G42" s="25">
        <v>22</v>
      </c>
      <c r="H42" s="26">
        <v>17</v>
      </c>
      <c r="I42" s="27">
        <v>0</v>
      </c>
      <c r="J42" s="3"/>
      <c r="K42" s="3"/>
      <c r="L42" s="3"/>
      <c r="M42" s="3"/>
      <c r="N42" s="22">
        <v>1983</v>
      </c>
      <c r="O42" s="3"/>
      <c r="P42" s="22">
        <v>38.590000000000003</v>
      </c>
      <c r="Q42" s="22">
        <v>9</v>
      </c>
      <c r="R42" s="22">
        <v>0</v>
      </c>
      <c r="S42" s="3"/>
    </row>
    <row r="43" spans="1:19" ht="15" customHeight="1" x14ac:dyDescent="0.2">
      <c r="A43" s="3"/>
      <c r="B43" s="3"/>
      <c r="C43" s="3"/>
      <c r="D43" s="22">
        <v>1984</v>
      </c>
      <c r="E43" s="23"/>
      <c r="F43" s="24">
        <v>26</v>
      </c>
      <c r="G43" s="25">
        <v>21</v>
      </c>
      <c r="H43" s="26">
        <v>17</v>
      </c>
      <c r="I43" s="27">
        <v>0</v>
      </c>
      <c r="J43" s="3"/>
      <c r="K43" s="3"/>
      <c r="L43" s="3"/>
      <c r="M43" s="3"/>
      <c r="N43" s="22">
        <v>1984</v>
      </c>
      <c r="O43" s="3"/>
      <c r="P43" s="22">
        <v>174.25</v>
      </c>
      <c r="Q43" s="22">
        <v>23</v>
      </c>
      <c r="R43" s="22">
        <v>0</v>
      </c>
      <c r="S43" s="3"/>
    </row>
    <row r="44" spans="1:19" ht="15" customHeight="1" x14ac:dyDescent="0.2">
      <c r="A44" s="3"/>
      <c r="B44" s="3"/>
      <c r="C44" s="3"/>
      <c r="D44" s="22">
        <v>1985</v>
      </c>
      <c r="E44" s="23"/>
      <c r="F44" s="24">
        <v>26</v>
      </c>
      <c r="G44" s="25">
        <v>21</v>
      </c>
      <c r="H44" s="26">
        <v>17</v>
      </c>
      <c r="I44" s="27">
        <v>0</v>
      </c>
      <c r="J44" s="3"/>
      <c r="K44" s="3"/>
      <c r="L44" s="3"/>
      <c r="M44" s="3"/>
      <c r="N44" s="22">
        <v>1985</v>
      </c>
      <c r="O44" s="3"/>
      <c r="P44" s="22">
        <v>151.12</v>
      </c>
      <c r="Q44" s="22">
        <v>18</v>
      </c>
      <c r="R44" s="22">
        <v>1</v>
      </c>
      <c r="S44" s="3"/>
    </row>
    <row r="45" spans="1:19" ht="15" customHeight="1" x14ac:dyDescent="0.2">
      <c r="A45" s="3"/>
      <c r="B45" s="3"/>
      <c r="C45" s="3"/>
      <c r="D45" s="22">
        <v>1986</v>
      </c>
      <c r="E45" s="23"/>
      <c r="F45" s="24">
        <v>24</v>
      </c>
      <c r="G45" s="25">
        <v>20</v>
      </c>
      <c r="H45" s="26">
        <v>16</v>
      </c>
      <c r="I45" s="27">
        <v>0</v>
      </c>
      <c r="J45" s="3"/>
      <c r="K45" s="3"/>
      <c r="L45" s="3"/>
      <c r="M45" s="3"/>
      <c r="N45" s="22">
        <v>1986</v>
      </c>
      <c r="O45" s="3"/>
      <c r="P45" s="22">
        <v>138.68</v>
      </c>
      <c r="Q45" s="22">
        <v>23</v>
      </c>
      <c r="R45" s="22">
        <v>0</v>
      </c>
      <c r="S45" s="3"/>
    </row>
    <row r="46" spans="1:19" ht="15" customHeight="1" x14ac:dyDescent="0.2">
      <c r="A46" s="3"/>
      <c r="B46" s="3"/>
      <c r="C46" s="3"/>
      <c r="D46" s="22">
        <v>1987</v>
      </c>
      <c r="E46" s="23"/>
      <c r="F46" s="24">
        <v>26</v>
      </c>
      <c r="G46" s="25">
        <v>22</v>
      </c>
      <c r="H46" s="26">
        <v>17</v>
      </c>
      <c r="I46" s="27">
        <v>0</v>
      </c>
      <c r="J46" s="3"/>
      <c r="K46" s="3"/>
      <c r="L46" s="3"/>
      <c r="M46" s="3"/>
      <c r="N46" s="22">
        <v>1987</v>
      </c>
      <c r="O46" s="3"/>
      <c r="P46" s="22">
        <v>111.76</v>
      </c>
      <c r="Q46" s="22">
        <v>18</v>
      </c>
      <c r="R46" s="22">
        <v>1</v>
      </c>
      <c r="S46" s="3"/>
    </row>
    <row r="47" spans="1:19" ht="15" customHeight="1" x14ac:dyDescent="0.2">
      <c r="A47" s="3"/>
      <c r="B47" s="3"/>
      <c r="C47" s="3"/>
      <c r="D47" s="22">
        <v>1988</v>
      </c>
      <c r="E47" s="23"/>
      <c r="F47" s="24">
        <v>27</v>
      </c>
      <c r="G47" s="25">
        <v>22</v>
      </c>
      <c r="H47" s="26">
        <v>18</v>
      </c>
      <c r="I47" s="27">
        <v>0</v>
      </c>
      <c r="J47" s="3"/>
      <c r="K47" s="3"/>
      <c r="L47" s="3"/>
      <c r="M47" s="3"/>
      <c r="N47" s="22">
        <v>1988</v>
      </c>
      <c r="O47" s="3"/>
      <c r="P47" s="22">
        <v>225.56</v>
      </c>
      <c r="Q47" s="22">
        <v>22</v>
      </c>
      <c r="R47" s="22">
        <v>1</v>
      </c>
      <c r="S47" s="3"/>
    </row>
    <row r="48" spans="1:19" ht="15" customHeight="1" x14ac:dyDescent="0.2">
      <c r="A48" s="3"/>
      <c r="B48" s="3"/>
      <c r="C48" s="3"/>
      <c r="D48" s="22">
        <v>1989</v>
      </c>
      <c r="E48" s="23"/>
      <c r="F48" s="24">
        <v>24</v>
      </c>
      <c r="G48" s="25">
        <v>20</v>
      </c>
      <c r="H48" s="26">
        <v>16</v>
      </c>
      <c r="I48" s="27">
        <v>0</v>
      </c>
      <c r="J48" s="3"/>
      <c r="K48" s="3"/>
      <c r="L48" s="3"/>
      <c r="M48" s="3"/>
      <c r="N48" s="22">
        <v>1989</v>
      </c>
      <c r="O48" s="3"/>
      <c r="P48" s="22">
        <v>149.36000000000001</v>
      </c>
      <c r="Q48" s="22">
        <v>19</v>
      </c>
      <c r="R48" s="22">
        <v>0</v>
      </c>
      <c r="S48" s="3"/>
    </row>
    <row r="49" spans="1:19" ht="15" customHeight="1" x14ac:dyDescent="0.2">
      <c r="A49" s="3"/>
      <c r="B49" s="3"/>
      <c r="C49" s="22">
        <v>1990</v>
      </c>
      <c r="D49" s="22">
        <v>1990</v>
      </c>
      <c r="E49" s="23"/>
      <c r="F49" s="24">
        <v>25</v>
      </c>
      <c r="G49" s="25">
        <v>20</v>
      </c>
      <c r="H49" s="26">
        <v>16</v>
      </c>
      <c r="I49" s="27">
        <v>0</v>
      </c>
      <c r="J49" s="22">
        <f>SUM(F49:F58)/10</f>
        <v>25.7</v>
      </c>
      <c r="K49" s="22">
        <f>SUM(G49:G58)/10</f>
        <v>21</v>
      </c>
      <c r="L49" s="22">
        <f>SUM(H49:H58)/10</f>
        <v>16.7</v>
      </c>
      <c r="M49" s="3"/>
      <c r="N49" s="22">
        <v>1990</v>
      </c>
      <c r="O49" s="3"/>
      <c r="P49" s="22">
        <v>398.28</v>
      </c>
      <c r="Q49" s="22">
        <v>20</v>
      </c>
      <c r="R49" s="22">
        <v>1</v>
      </c>
      <c r="S49" s="3"/>
    </row>
    <row r="50" spans="1:19" ht="15" customHeight="1" x14ac:dyDescent="0.2">
      <c r="A50" s="3"/>
      <c r="B50" s="3"/>
      <c r="C50" s="3"/>
      <c r="D50" s="22">
        <v>1991</v>
      </c>
      <c r="E50" s="23"/>
      <c r="F50" s="24">
        <v>25</v>
      </c>
      <c r="G50" s="25">
        <v>21</v>
      </c>
      <c r="H50" s="26">
        <v>17</v>
      </c>
      <c r="I50" s="27">
        <v>0</v>
      </c>
      <c r="J50" s="3"/>
      <c r="K50" s="3"/>
      <c r="L50" s="3"/>
      <c r="M50" s="3"/>
      <c r="N50" s="22">
        <v>1991</v>
      </c>
      <c r="O50" s="3"/>
      <c r="P50" s="22">
        <v>80.510000000000005</v>
      </c>
      <c r="Q50" s="22">
        <v>15</v>
      </c>
      <c r="R50" s="22">
        <v>0</v>
      </c>
      <c r="S50" s="3"/>
    </row>
    <row r="51" spans="1:19" ht="15" customHeight="1" x14ac:dyDescent="0.2">
      <c r="A51" s="3"/>
      <c r="B51" s="3"/>
      <c r="C51" s="3"/>
      <c r="D51" s="22">
        <v>1992</v>
      </c>
      <c r="E51" s="23"/>
      <c r="F51" s="24">
        <v>23</v>
      </c>
      <c r="G51" s="25">
        <v>19</v>
      </c>
      <c r="H51" s="26">
        <v>15</v>
      </c>
      <c r="I51" s="27">
        <v>0</v>
      </c>
      <c r="J51" s="3"/>
      <c r="K51" s="3"/>
      <c r="L51" s="3"/>
      <c r="M51" s="3"/>
      <c r="N51" s="22">
        <v>1992</v>
      </c>
      <c r="O51" s="3"/>
      <c r="P51" s="22">
        <v>133.86000000000001</v>
      </c>
      <c r="Q51" s="22">
        <v>19</v>
      </c>
      <c r="R51" s="22">
        <v>0</v>
      </c>
      <c r="S51" s="3"/>
    </row>
    <row r="52" spans="1:19" ht="15" customHeight="1" x14ac:dyDescent="0.2">
      <c r="A52" s="3"/>
      <c r="B52" s="3"/>
      <c r="C52" s="3"/>
      <c r="D52" s="22">
        <v>1993</v>
      </c>
      <c r="E52" s="23"/>
      <c r="F52" s="24">
        <v>26</v>
      </c>
      <c r="G52" s="25">
        <v>21</v>
      </c>
      <c r="H52" s="26">
        <v>16</v>
      </c>
      <c r="I52" s="27">
        <v>0</v>
      </c>
      <c r="J52" s="3"/>
      <c r="K52" s="3"/>
      <c r="L52" s="3"/>
      <c r="M52" s="3"/>
      <c r="N52" s="22">
        <v>1993</v>
      </c>
      <c r="O52" s="3"/>
      <c r="P52" s="22">
        <v>93.46</v>
      </c>
      <c r="Q52" s="22">
        <v>14</v>
      </c>
      <c r="R52" s="22">
        <v>0</v>
      </c>
      <c r="S52" s="3"/>
    </row>
    <row r="53" spans="1:19" ht="15" customHeight="1" x14ac:dyDescent="0.2">
      <c r="A53" s="3"/>
      <c r="B53" s="3"/>
      <c r="C53" s="3"/>
      <c r="D53" s="22">
        <v>1994</v>
      </c>
      <c r="E53" s="23"/>
      <c r="F53" s="24">
        <v>27</v>
      </c>
      <c r="G53" s="25">
        <v>23</v>
      </c>
      <c r="H53" s="26">
        <v>18</v>
      </c>
      <c r="I53" s="27">
        <v>0</v>
      </c>
      <c r="J53" s="3"/>
      <c r="K53" s="3"/>
      <c r="L53" s="3"/>
      <c r="M53" s="3"/>
      <c r="N53" s="22">
        <v>1994</v>
      </c>
      <c r="O53" s="3"/>
      <c r="P53" s="22">
        <v>130.05000000000001</v>
      </c>
      <c r="Q53" s="22">
        <v>10</v>
      </c>
      <c r="R53" s="22">
        <v>0</v>
      </c>
      <c r="S53" s="3"/>
    </row>
    <row r="54" spans="1:19" ht="15" customHeight="1" x14ac:dyDescent="0.2">
      <c r="A54" s="3"/>
      <c r="B54" s="3"/>
      <c r="C54" s="3"/>
      <c r="D54" s="22">
        <v>1995</v>
      </c>
      <c r="E54" s="23"/>
      <c r="F54" s="24">
        <v>27</v>
      </c>
      <c r="G54" s="25">
        <v>22</v>
      </c>
      <c r="H54" s="26">
        <v>18</v>
      </c>
      <c r="I54" s="27">
        <v>0</v>
      </c>
      <c r="J54" s="3"/>
      <c r="K54" s="3"/>
      <c r="L54" s="3"/>
      <c r="M54" s="3"/>
      <c r="N54" s="22">
        <v>1995</v>
      </c>
      <c r="O54" s="3"/>
      <c r="P54" s="22">
        <v>151.4</v>
      </c>
      <c r="Q54" s="22">
        <v>24</v>
      </c>
      <c r="R54" s="22">
        <v>0</v>
      </c>
      <c r="S54" s="3"/>
    </row>
    <row r="55" spans="1:19" ht="15" customHeight="1" x14ac:dyDescent="0.2">
      <c r="A55" s="3"/>
      <c r="B55" s="3"/>
      <c r="C55" s="3"/>
      <c r="D55" s="22">
        <v>1996</v>
      </c>
      <c r="E55" s="23"/>
      <c r="F55" s="24">
        <v>24</v>
      </c>
      <c r="G55" s="25">
        <v>20</v>
      </c>
      <c r="H55" s="26">
        <v>16</v>
      </c>
      <c r="I55" s="27">
        <v>0</v>
      </c>
      <c r="J55" s="3"/>
      <c r="K55" s="3"/>
      <c r="L55" s="3"/>
      <c r="M55" s="3"/>
      <c r="N55" s="22">
        <v>1996</v>
      </c>
      <c r="O55" s="3"/>
      <c r="P55" s="22">
        <v>152.65</v>
      </c>
      <c r="Q55" s="22">
        <v>12</v>
      </c>
      <c r="R55" s="22">
        <v>0</v>
      </c>
      <c r="S55" s="3"/>
    </row>
    <row r="56" spans="1:19" ht="15" customHeight="1" x14ac:dyDescent="0.2">
      <c r="A56" s="3"/>
      <c r="B56" s="3"/>
      <c r="C56" s="3"/>
      <c r="D56" s="22">
        <v>1997</v>
      </c>
      <c r="E56" s="23"/>
      <c r="F56" s="24">
        <v>26</v>
      </c>
      <c r="G56" s="25">
        <v>21</v>
      </c>
      <c r="H56" s="26">
        <v>16</v>
      </c>
      <c r="I56" s="27">
        <v>0</v>
      </c>
      <c r="J56" s="3"/>
      <c r="K56" s="3"/>
      <c r="L56" s="3"/>
      <c r="M56" s="3"/>
      <c r="N56" s="22">
        <v>1997</v>
      </c>
      <c r="O56" s="3"/>
      <c r="P56" s="22">
        <v>54.6</v>
      </c>
      <c r="Q56" s="22">
        <v>10</v>
      </c>
      <c r="R56" s="22">
        <v>0</v>
      </c>
      <c r="S56" s="3"/>
    </row>
    <row r="57" spans="1:19" ht="15" customHeight="1" x14ac:dyDescent="0.2">
      <c r="A57" s="3"/>
      <c r="B57" s="3"/>
      <c r="C57" s="3"/>
      <c r="D57" s="22">
        <v>1998</v>
      </c>
      <c r="E57" s="23"/>
      <c r="F57" s="24">
        <v>26</v>
      </c>
      <c r="G57" s="25">
        <v>21</v>
      </c>
      <c r="H57" s="26">
        <v>17</v>
      </c>
      <c r="I57" s="27">
        <v>0</v>
      </c>
      <c r="J57" s="3"/>
      <c r="K57" s="3"/>
      <c r="L57" s="3"/>
      <c r="M57" s="3"/>
      <c r="N57" s="22">
        <v>1998</v>
      </c>
      <c r="O57" s="3"/>
      <c r="P57" s="22">
        <v>44.94</v>
      </c>
      <c r="Q57" s="22">
        <v>9</v>
      </c>
      <c r="R57" s="22">
        <v>0</v>
      </c>
      <c r="S57" s="3"/>
    </row>
    <row r="58" spans="1:19" ht="15" customHeight="1" x14ac:dyDescent="0.2">
      <c r="A58" s="3"/>
      <c r="B58" s="3"/>
      <c r="C58" s="3"/>
      <c r="D58" s="22">
        <v>1999</v>
      </c>
      <c r="E58" s="23"/>
      <c r="F58" s="24">
        <v>28</v>
      </c>
      <c r="G58" s="25">
        <v>22</v>
      </c>
      <c r="H58" s="26">
        <v>18</v>
      </c>
      <c r="I58" s="27">
        <v>0</v>
      </c>
      <c r="J58" s="3"/>
      <c r="K58" s="3"/>
      <c r="L58" s="3"/>
      <c r="M58" s="3"/>
      <c r="N58" s="22">
        <v>1999</v>
      </c>
      <c r="O58" s="3"/>
      <c r="P58" s="22">
        <v>87.63</v>
      </c>
      <c r="Q58" s="22">
        <v>10</v>
      </c>
      <c r="R58" s="22">
        <v>0</v>
      </c>
      <c r="S58" s="3"/>
    </row>
    <row r="59" spans="1:19" ht="15" customHeight="1" x14ac:dyDescent="0.2">
      <c r="A59" s="3"/>
      <c r="B59" s="3"/>
      <c r="C59" s="22">
        <v>2000</v>
      </c>
      <c r="D59" s="22">
        <v>2000</v>
      </c>
      <c r="E59" s="23"/>
      <c r="F59" s="24">
        <v>24</v>
      </c>
      <c r="G59" s="25">
        <v>19</v>
      </c>
      <c r="H59" s="26">
        <v>15</v>
      </c>
      <c r="I59" s="27">
        <v>0</v>
      </c>
      <c r="J59" s="22">
        <f>SUM(F59:F68)/10</f>
        <v>25.7</v>
      </c>
      <c r="K59" s="22">
        <f>SUM(G59:G68)/10</f>
        <v>20.9</v>
      </c>
      <c r="L59" s="22">
        <f>SUM(H59:H68)/10</f>
        <v>16.5</v>
      </c>
      <c r="M59" s="3"/>
      <c r="N59" s="22">
        <v>2000</v>
      </c>
      <c r="O59" s="3"/>
      <c r="P59" s="22">
        <v>104.4</v>
      </c>
      <c r="Q59" s="22">
        <v>14</v>
      </c>
      <c r="R59" s="22">
        <v>0</v>
      </c>
      <c r="S59" s="3"/>
    </row>
    <row r="60" spans="1:19" ht="15" customHeight="1" x14ac:dyDescent="0.2">
      <c r="A60" s="3"/>
      <c r="B60" s="3"/>
      <c r="C60" s="3"/>
      <c r="D60" s="22">
        <v>2001</v>
      </c>
      <c r="E60" s="23"/>
      <c r="F60" s="24">
        <v>24</v>
      </c>
      <c r="G60" s="25">
        <v>19</v>
      </c>
      <c r="H60" s="26">
        <v>14</v>
      </c>
      <c r="I60" s="27">
        <v>0</v>
      </c>
      <c r="J60" s="3"/>
      <c r="K60" s="3"/>
      <c r="L60" s="3"/>
      <c r="M60" s="3"/>
      <c r="N60" s="22">
        <v>2001</v>
      </c>
      <c r="O60" s="3"/>
      <c r="P60" s="22">
        <v>44.68</v>
      </c>
      <c r="Q60" s="22">
        <v>12</v>
      </c>
      <c r="R60" s="22">
        <v>0</v>
      </c>
      <c r="S60" s="3"/>
    </row>
    <row r="61" spans="1:19" ht="15" customHeight="1" x14ac:dyDescent="0.2">
      <c r="A61" s="3"/>
      <c r="B61" s="3"/>
      <c r="C61" s="3"/>
      <c r="D61" s="22">
        <v>2002</v>
      </c>
      <c r="E61" s="23"/>
      <c r="F61" s="24">
        <v>26</v>
      </c>
      <c r="G61" s="25">
        <v>21</v>
      </c>
      <c r="H61" s="26">
        <v>17</v>
      </c>
      <c r="I61" s="27">
        <v>0</v>
      </c>
      <c r="J61" s="3"/>
      <c r="K61" s="3"/>
      <c r="L61" s="3"/>
      <c r="M61" s="3"/>
      <c r="N61" s="22">
        <v>2002</v>
      </c>
      <c r="O61" s="3"/>
      <c r="P61" s="22">
        <v>66.56</v>
      </c>
      <c r="Q61" s="22">
        <v>8</v>
      </c>
      <c r="R61" s="22">
        <v>0</v>
      </c>
      <c r="S61" s="3"/>
    </row>
    <row r="62" spans="1:19" ht="15" customHeight="1" x14ac:dyDescent="0.2">
      <c r="A62" s="3"/>
      <c r="B62" s="3"/>
      <c r="C62" s="3"/>
      <c r="D62" s="22">
        <v>2003</v>
      </c>
      <c r="E62" s="23"/>
      <c r="F62" s="24">
        <v>26</v>
      </c>
      <c r="G62" s="25">
        <v>21</v>
      </c>
      <c r="H62" s="26">
        <v>17</v>
      </c>
      <c r="I62" s="27">
        <v>0</v>
      </c>
      <c r="J62" s="3"/>
      <c r="K62" s="3"/>
      <c r="L62" s="3"/>
      <c r="M62" s="3"/>
      <c r="N62" s="22">
        <v>2003</v>
      </c>
      <c r="O62" s="3"/>
      <c r="P62" s="22">
        <v>77.97</v>
      </c>
      <c r="Q62" s="22">
        <v>12</v>
      </c>
      <c r="R62" s="22">
        <v>0</v>
      </c>
      <c r="S62" s="3"/>
    </row>
    <row r="63" spans="1:19" ht="15" customHeight="1" x14ac:dyDescent="0.2">
      <c r="A63" s="3"/>
      <c r="B63" s="3"/>
      <c r="C63" s="3"/>
      <c r="D63" s="22">
        <v>2004</v>
      </c>
      <c r="E63" s="23"/>
      <c r="F63" s="24">
        <v>25</v>
      </c>
      <c r="G63" s="25">
        <v>20</v>
      </c>
      <c r="H63" s="26">
        <v>16</v>
      </c>
      <c r="I63" s="27">
        <v>0</v>
      </c>
      <c r="J63" s="3"/>
      <c r="K63" s="3"/>
      <c r="L63" s="3"/>
      <c r="M63" s="3"/>
      <c r="N63" s="22">
        <v>2004</v>
      </c>
      <c r="O63" s="3"/>
      <c r="P63" s="22">
        <v>123.94</v>
      </c>
      <c r="Q63" s="22">
        <v>13</v>
      </c>
      <c r="R63" s="22">
        <v>0</v>
      </c>
      <c r="S63" s="3"/>
    </row>
    <row r="64" spans="1:19" ht="15" customHeight="1" x14ac:dyDescent="0.2">
      <c r="A64" s="3"/>
      <c r="B64" s="3"/>
      <c r="C64" s="3"/>
      <c r="D64" s="22">
        <v>2005</v>
      </c>
      <c r="E64" s="23"/>
      <c r="F64" s="24">
        <v>26</v>
      </c>
      <c r="G64" s="25">
        <v>22</v>
      </c>
      <c r="H64" s="26">
        <v>17</v>
      </c>
      <c r="I64" s="27">
        <v>0</v>
      </c>
      <c r="J64" s="3"/>
      <c r="K64" s="3"/>
      <c r="L64" s="3"/>
      <c r="M64" s="3"/>
      <c r="N64" s="22">
        <v>2005</v>
      </c>
      <c r="O64" s="3"/>
      <c r="P64" s="22">
        <v>127.51</v>
      </c>
      <c r="Q64" s="22">
        <v>10</v>
      </c>
      <c r="R64" s="22">
        <v>0</v>
      </c>
      <c r="S64" s="3"/>
    </row>
    <row r="65" spans="1:19" ht="15" customHeight="1" x14ac:dyDescent="0.2">
      <c r="A65" s="3"/>
      <c r="B65" s="3"/>
      <c r="C65" s="3"/>
      <c r="D65" s="22">
        <v>2006</v>
      </c>
      <c r="E65" s="23"/>
      <c r="F65" s="24">
        <v>28</v>
      </c>
      <c r="G65" s="25">
        <v>23</v>
      </c>
      <c r="H65" s="26">
        <v>19</v>
      </c>
      <c r="I65" s="27">
        <v>0</v>
      </c>
      <c r="J65" s="3"/>
      <c r="K65" s="3"/>
      <c r="L65" s="3"/>
      <c r="M65" s="3"/>
      <c r="N65" s="22">
        <v>2006</v>
      </c>
      <c r="O65" s="3"/>
      <c r="P65" s="22">
        <v>80.760000000000005</v>
      </c>
      <c r="Q65" s="22">
        <v>12</v>
      </c>
      <c r="R65" s="22">
        <v>0</v>
      </c>
      <c r="S65" s="3"/>
    </row>
    <row r="66" spans="1:19" ht="15" customHeight="1" x14ac:dyDescent="0.2">
      <c r="A66" s="3"/>
      <c r="B66" s="3"/>
      <c r="C66" s="3"/>
      <c r="D66" s="22">
        <v>2007</v>
      </c>
      <c r="E66" s="23"/>
      <c r="F66" s="24">
        <v>27</v>
      </c>
      <c r="G66" s="25">
        <v>22</v>
      </c>
      <c r="H66" s="26">
        <v>17</v>
      </c>
      <c r="I66" s="27">
        <v>0</v>
      </c>
      <c r="J66" s="3"/>
      <c r="K66" s="3"/>
      <c r="L66" s="3"/>
      <c r="M66" s="3"/>
      <c r="N66" s="22">
        <v>2007</v>
      </c>
      <c r="O66" s="3"/>
      <c r="P66" s="22">
        <v>109.21</v>
      </c>
      <c r="Q66" s="22">
        <v>14</v>
      </c>
      <c r="R66" s="22">
        <v>0</v>
      </c>
      <c r="S66" s="3"/>
    </row>
    <row r="67" spans="1:19" ht="15" customHeight="1" x14ac:dyDescent="0.2">
      <c r="A67" s="3"/>
      <c r="B67" s="3"/>
      <c r="C67" s="3"/>
      <c r="D67" s="22">
        <v>2008</v>
      </c>
      <c r="E67" s="23"/>
      <c r="F67" s="24">
        <v>27</v>
      </c>
      <c r="G67" s="25">
        <v>23</v>
      </c>
      <c r="H67" s="26">
        <v>18</v>
      </c>
      <c r="I67" s="27">
        <v>0</v>
      </c>
      <c r="J67" s="3"/>
      <c r="K67" s="3"/>
      <c r="L67" s="3"/>
      <c r="M67" s="3"/>
      <c r="N67" s="22">
        <v>2008</v>
      </c>
      <c r="O67" s="3"/>
      <c r="P67" s="22">
        <v>202.42</v>
      </c>
      <c r="Q67" s="22">
        <v>16</v>
      </c>
      <c r="R67" s="22">
        <v>0</v>
      </c>
      <c r="S67" s="3"/>
    </row>
    <row r="68" spans="1:19" ht="15" customHeight="1" x14ac:dyDescent="0.2">
      <c r="A68" s="3"/>
      <c r="B68" s="3"/>
      <c r="C68" s="3"/>
      <c r="D68" s="22">
        <v>2009</v>
      </c>
      <c r="E68" s="23"/>
      <c r="F68" s="24">
        <v>24</v>
      </c>
      <c r="G68" s="25">
        <v>19</v>
      </c>
      <c r="H68" s="26">
        <v>15</v>
      </c>
      <c r="I68" s="27">
        <v>0</v>
      </c>
      <c r="J68" s="3"/>
      <c r="K68" s="3"/>
      <c r="L68" s="3"/>
      <c r="M68" s="3"/>
      <c r="N68" s="22">
        <v>2009</v>
      </c>
      <c r="O68" s="3"/>
      <c r="P68" s="22">
        <v>274.57</v>
      </c>
      <c r="Q68" s="22">
        <v>19</v>
      </c>
      <c r="R68" s="22">
        <v>0</v>
      </c>
      <c r="S68" s="3"/>
    </row>
    <row r="69" spans="1:19" ht="15" customHeight="1" x14ac:dyDescent="0.2">
      <c r="A69" s="3"/>
      <c r="B69" s="3"/>
      <c r="C69" s="22">
        <v>2010</v>
      </c>
      <c r="D69" s="22">
        <v>2010</v>
      </c>
      <c r="E69" s="23"/>
      <c r="F69" s="24">
        <v>28</v>
      </c>
      <c r="G69" s="25">
        <v>23</v>
      </c>
      <c r="H69" s="26">
        <v>18</v>
      </c>
      <c r="I69" s="27">
        <v>0</v>
      </c>
      <c r="J69" s="22">
        <f>SUM(F69:F78)/8</f>
        <v>30.75</v>
      </c>
      <c r="K69" s="22">
        <f>SUM(G69:G78)/8</f>
        <v>25.375</v>
      </c>
      <c r="L69" s="22">
        <f>SUM(H69:H78)/8</f>
        <v>19.625</v>
      </c>
      <c r="M69" s="3"/>
      <c r="N69" s="22">
        <v>2010</v>
      </c>
      <c r="O69" s="3"/>
      <c r="P69" s="22">
        <v>65.78</v>
      </c>
      <c r="Q69" s="22">
        <v>10</v>
      </c>
      <c r="R69" s="22">
        <v>0</v>
      </c>
      <c r="S69" s="3"/>
    </row>
    <row r="70" spans="1:19" ht="15" customHeight="1" x14ac:dyDescent="0.2">
      <c r="A70" s="3"/>
      <c r="B70" s="3"/>
      <c r="C70" s="3"/>
      <c r="D70" s="22">
        <v>2011</v>
      </c>
      <c r="E70" s="23"/>
      <c r="F70" s="24">
        <v>28</v>
      </c>
      <c r="G70" s="25">
        <v>23</v>
      </c>
      <c r="H70" s="26">
        <v>18</v>
      </c>
      <c r="I70" s="27">
        <v>0</v>
      </c>
      <c r="J70" s="3"/>
      <c r="K70" s="3"/>
      <c r="L70" s="3"/>
      <c r="M70" s="3"/>
      <c r="N70" s="22">
        <v>2011</v>
      </c>
      <c r="O70" s="3"/>
      <c r="P70" s="22">
        <v>55.89</v>
      </c>
      <c r="Q70" s="22">
        <v>10</v>
      </c>
      <c r="R70" s="22">
        <v>0</v>
      </c>
      <c r="S70" s="3"/>
    </row>
    <row r="71" spans="1:19" ht="15" customHeight="1" x14ac:dyDescent="0.2">
      <c r="A71" s="3"/>
      <c r="B71" s="3"/>
      <c r="C71" s="3"/>
      <c r="D71" s="22">
        <v>2012</v>
      </c>
      <c r="E71" s="23"/>
      <c r="F71" s="24">
        <v>28</v>
      </c>
      <c r="G71" s="25">
        <v>23</v>
      </c>
      <c r="H71" s="26">
        <v>18</v>
      </c>
      <c r="I71" s="27">
        <v>0</v>
      </c>
      <c r="J71" s="3"/>
      <c r="K71" s="3"/>
      <c r="L71" s="3"/>
      <c r="M71" s="3"/>
      <c r="N71" s="22">
        <v>2012</v>
      </c>
      <c r="O71" s="3"/>
      <c r="P71" s="22">
        <v>80.25</v>
      </c>
      <c r="Q71" s="22">
        <v>10</v>
      </c>
      <c r="R71" s="22">
        <v>0</v>
      </c>
      <c r="S71" s="3"/>
    </row>
    <row r="72" spans="1:19" ht="15" customHeight="1" x14ac:dyDescent="0.2">
      <c r="A72" s="3"/>
      <c r="B72" s="3"/>
      <c r="C72" s="3"/>
      <c r="D72" s="22">
        <v>2013</v>
      </c>
      <c r="E72" s="23"/>
      <c r="F72" s="24">
        <v>28</v>
      </c>
      <c r="G72" s="25">
        <v>24</v>
      </c>
      <c r="H72" s="26">
        <v>19</v>
      </c>
      <c r="I72" s="27">
        <v>0</v>
      </c>
      <c r="J72" s="3"/>
      <c r="K72" s="3"/>
      <c r="L72" s="3"/>
      <c r="M72" s="3"/>
      <c r="N72" s="22">
        <v>2013</v>
      </c>
      <c r="O72" s="3"/>
      <c r="P72" s="22">
        <v>75.45</v>
      </c>
      <c r="Q72" s="22">
        <v>10</v>
      </c>
      <c r="R72" s="22">
        <v>0</v>
      </c>
      <c r="S72" s="3"/>
    </row>
    <row r="73" spans="1:19" ht="15" customHeight="1" x14ac:dyDescent="0.2">
      <c r="A73" s="3"/>
      <c r="B73" s="3"/>
      <c r="C73" s="3"/>
      <c r="D73" s="22">
        <v>2014</v>
      </c>
      <c r="E73" s="23"/>
      <c r="F73" s="24">
        <v>26</v>
      </c>
      <c r="G73" s="25">
        <v>21</v>
      </c>
      <c r="H73" s="26">
        <v>16</v>
      </c>
      <c r="I73" s="27">
        <v>0</v>
      </c>
      <c r="J73" s="3"/>
      <c r="K73" s="3"/>
      <c r="L73" s="3"/>
      <c r="M73" s="3"/>
      <c r="N73" s="22">
        <v>2014</v>
      </c>
      <c r="O73" s="3"/>
      <c r="P73" s="22">
        <v>159.51</v>
      </c>
      <c r="Q73" s="22">
        <v>12</v>
      </c>
      <c r="R73" s="3"/>
      <c r="S73" s="3"/>
    </row>
    <row r="74" spans="1:19" ht="15" customHeight="1" x14ac:dyDescent="0.2">
      <c r="A74" s="3"/>
      <c r="B74" s="3"/>
      <c r="C74" s="3"/>
      <c r="D74" s="22">
        <v>2015</v>
      </c>
      <c r="E74" s="23"/>
      <c r="F74" s="24">
        <v>27</v>
      </c>
      <c r="G74" s="25">
        <v>22</v>
      </c>
      <c r="H74" s="26">
        <v>17</v>
      </c>
      <c r="I74" s="27">
        <v>0</v>
      </c>
      <c r="J74" s="3"/>
      <c r="K74" s="3"/>
      <c r="L74" s="3"/>
      <c r="M74" s="3"/>
      <c r="N74" s="22">
        <v>2015</v>
      </c>
      <c r="O74" s="3"/>
      <c r="P74" s="22">
        <v>72.63</v>
      </c>
      <c r="Q74" s="22">
        <v>10</v>
      </c>
      <c r="R74" s="3"/>
      <c r="S74" s="3"/>
    </row>
    <row r="75" spans="1:19" ht="15" customHeight="1" x14ac:dyDescent="0.2">
      <c r="A75" s="3"/>
      <c r="B75" s="3"/>
      <c r="C75" s="3"/>
      <c r="D75" s="22">
        <v>2016</v>
      </c>
      <c r="E75" s="23"/>
      <c r="F75" s="24">
        <v>28</v>
      </c>
      <c r="G75" s="25">
        <v>23</v>
      </c>
      <c r="H75" s="26">
        <v>17</v>
      </c>
      <c r="I75" s="27">
        <v>0</v>
      </c>
      <c r="J75" s="3"/>
      <c r="K75" s="3"/>
      <c r="L75" s="3"/>
      <c r="M75" s="3"/>
      <c r="N75" s="22">
        <v>2016</v>
      </c>
      <c r="O75" s="3"/>
      <c r="P75" s="22">
        <v>52.33</v>
      </c>
      <c r="Q75" s="22">
        <v>11</v>
      </c>
      <c r="R75" s="3"/>
      <c r="S75" s="3"/>
    </row>
    <row r="76" spans="1:19" ht="15" customHeight="1" x14ac:dyDescent="0.2">
      <c r="A76" s="3"/>
      <c r="B76" s="3"/>
      <c r="C76" s="3"/>
      <c r="D76" s="22">
        <v>2017</v>
      </c>
      <c r="E76" s="23"/>
      <c r="F76" s="24">
        <v>25</v>
      </c>
      <c r="G76" s="25">
        <v>21</v>
      </c>
      <c r="H76" s="26">
        <v>16</v>
      </c>
      <c r="I76" s="27">
        <v>0</v>
      </c>
      <c r="J76" s="3"/>
      <c r="K76" s="3"/>
      <c r="L76" s="3"/>
      <c r="M76" s="3"/>
      <c r="N76" s="22">
        <v>2017</v>
      </c>
      <c r="O76" s="3"/>
      <c r="P76" s="22">
        <v>56.89</v>
      </c>
      <c r="Q76" s="22">
        <v>10</v>
      </c>
      <c r="R76" s="3"/>
      <c r="S76" s="3"/>
    </row>
    <row r="77" spans="1:19" ht="15" customHeight="1" x14ac:dyDescent="0.2">
      <c r="A77" s="3"/>
      <c r="B77" s="3"/>
      <c r="C77" s="3"/>
      <c r="D77" s="22">
        <v>2018</v>
      </c>
      <c r="E77" s="23"/>
      <c r="F77" s="33">
        <v>28</v>
      </c>
      <c r="G77" s="34">
        <v>23</v>
      </c>
      <c r="H77" s="35">
        <v>18</v>
      </c>
      <c r="I77" s="27">
        <v>0</v>
      </c>
      <c r="J77" s="3"/>
      <c r="K77" s="3"/>
      <c r="L77" s="3"/>
      <c r="M77" s="3"/>
      <c r="N77" s="22">
        <v>2018</v>
      </c>
      <c r="O77" s="3"/>
      <c r="P77" s="22">
        <v>131.06</v>
      </c>
      <c r="Q77" s="22">
        <v>9</v>
      </c>
      <c r="R77" s="3"/>
      <c r="S77" s="3"/>
    </row>
    <row r="78" spans="1:19" ht="15" customHeight="1" x14ac:dyDescent="0.2">
      <c r="A78" s="3"/>
      <c r="B78" s="3"/>
      <c r="C78" s="3"/>
      <c r="D78" s="3"/>
      <c r="E78" s="3"/>
      <c r="F78" s="36"/>
      <c r="G78" s="36"/>
      <c r="H78" s="36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19" ht="1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19" ht="1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9" ht="15" customHeight="1" x14ac:dyDescent="0.2">
      <c r="A81" s="3"/>
      <c r="B81" s="3"/>
      <c r="C81" s="3"/>
      <c r="D81" s="4" t="s">
        <v>25</v>
      </c>
      <c r="E81" s="3"/>
      <c r="F81" s="3"/>
      <c r="G81" s="3"/>
      <c r="H81" s="3"/>
      <c r="I81" s="3"/>
      <c r="J81" s="3"/>
      <c r="K81" s="3"/>
      <c r="L81" s="3"/>
      <c r="M81" s="3"/>
      <c r="N81" s="4" t="s">
        <v>25</v>
      </c>
      <c r="O81" s="3"/>
      <c r="P81" s="3"/>
      <c r="Q81" s="3"/>
      <c r="R81" s="3"/>
      <c r="S81" s="3"/>
    </row>
    <row r="82" spans="1:19" ht="1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1:19" ht="15" customHeight="1" x14ac:dyDescent="0.2">
      <c r="A83" s="3"/>
      <c r="B83" s="3"/>
      <c r="C83" s="3"/>
      <c r="D83" s="37" t="s">
        <v>26</v>
      </c>
      <c r="E83" s="3"/>
      <c r="F83" s="22">
        <f>COUNT(F9:F77)</f>
        <v>69</v>
      </c>
      <c r="G83" s="22">
        <f>COUNT(G9:G77)</f>
        <v>69</v>
      </c>
      <c r="H83" s="22">
        <f>COUNT(H9:H77)</f>
        <v>69</v>
      </c>
      <c r="I83" s="3"/>
      <c r="J83" s="3"/>
      <c r="K83" s="3"/>
      <c r="L83" s="3"/>
      <c r="M83" s="3"/>
      <c r="N83" s="37" t="s">
        <v>26</v>
      </c>
      <c r="O83" s="3"/>
      <c r="P83" s="22">
        <f>COUNT(P9:P77)</f>
        <v>62</v>
      </c>
      <c r="Q83" s="22">
        <f>COUNT(Q9:Q77)</f>
        <v>62</v>
      </c>
      <c r="R83" s="22">
        <f>COUNT(R9:R77)</f>
        <v>57</v>
      </c>
      <c r="S83" s="3"/>
    </row>
    <row r="84" spans="1:19" ht="15" customHeight="1" x14ac:dyDescent="0.2">
      <c r="A84" s="3"/>
      <c r="B84" s="3"/>
      <c r="C84" s="3"/>
      <c r="D84" s="37" t="s">
        <v>11</v>
      </c>
      <c r="E84" s="3"/>
      <c r="F84" s="38">
        <f>AVERAGE(F9:F77)</f>
        <v>25.956521739130434</v>
      </c>
      <c r="G84" s="38">
        <f>AVERAGE(G9:G77)</f>
        <v>21.231884057971016</v>
      </c>
      <c r="H84" s="38">
        <f>AVERAGE(H9:H77)</f>
        <v>16.681159420289855</v>
      </c>
      <c r="I84" s="3"/>
      <c r="J84" s="3"/>
      <c r="K84" s="3"/>
      <c r="L84" s="3"/>
      <c r="M84" s="3"/>
      <c r="N84" s="37" t="s">
        <v>11</v>
      </c>
      <c r="O84" s="3"/>
      <c r="P84" s="38">
        <f>AVERAGE(P9:P77)</f>
        <v>110.08983870967744</v>
      </c>
      <c r="Q84" s="38">
        <f>AVERAGE(Q9:Q77)</f>
        <v>12.35483870967742</v>
      </c>
      <c r="R84" s="38">
        <f>AVERAGE(R9:R77)</f>
        <v>0.12280701754385964</v>
      </c>
      <c r="S84" s="3"/>
    </row>
    <row r="85" spans="1:19" ht="15" customHeight="1" x14ac:dyDescent="0.2">
      <c r="A85" s="3"/>
      <c r="B85" s="3"/>
      <c r="C85" s="3"/>
      <c r="D85" s="37" t="s">
        <v>27</v>
      </c>
      <c r="E85" s="3"/>
      <c r="F85" s="38">
        <f>STDEV(F9:F77)</f>
        <v>1.3659168716491332</v>
      </c>
      <c r="G85" s="38">
        <f>STDEV(G9:G77)</f>
        <v>1.189969445186476</v>
      </c>
      <c r="H85" s="38">
        <f>STDEV(H9:H77)</f>
        <v>1.117938670621178</v>
      </c>
      <c r="I85" s="3"/>
      <c r="J85" s="3"/>
      <c r="K85" s="3"/>
      <c r="L85" s="3"/>
      <c r="M85" s="3"/>
      <c r="N85" s="37" t="s">
        <v>27</v>
      </c>
      <c r="O85" s="3"/>
      <c r="P85" s="38">
        <f>STDEV(P9:P77)</f>
        <v>80.687452728676533</v>
      </c>
      <c r="Q85" s="38">
        <f>STDEV(Q9:Q77)</f>
        <v>4.8353099285057723</v>
      </c>
      <c r="R85" s="38">
        <f>STDEV(R9:R77)</f>
        <v>0.33113308926626095</v>
      </c>
      <c r="S85" s="3"/>
    </row>
  </sheetData>
  <hyperlinks>
    <hyperlink ref="B2" r:id="rId1" xr:uid="{00000000-0004-0000-0200-000000000000}"/>
  </hyperlinks>
  <pageMargins left="0.7" right="0.7" top="0.75" bottom="0.75" header="0.3" footer="0.3"/>
  <pageSetup orientation="portrait"/>
  <headerFooter>
    <oddFooter>&amp;C&amp;"Helvetica Neue,Regular"&amp;12&amp;K000000&amp;P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V85"/>
  <sheetViews>
    <sheetView showGridLines="0" workbookViewId="0"/>
  </sheetViews>
  <sheetFormatPr baseColWidth="10" defaultColWidth="8.83203125" defaultRowHeight="15" customHeight="1" x14ac:dyDescent="0.2"/>
  <cols>
    <col min="1" max="1" width="14.1640625" style="45" customWidth="1"/>
    <col min="2" max="8" width="8.83203125" style="45" customWidth="1"/>
    <col min="9" max="9" width="27" style="45" customWidth="1"/>
    <col min="10" max="14" width="8.83203125" style="45" customWidth="1"/>
    <col min="15" max="15" width="6.5" style="45" customWidth="1"/>
    <col min="16" max="16" width="13.5" style="45" customWidth="1"/>
    <col min="17" max="17" width="15.5" style="45" customWidth="1"/>
    <col min="18" max="18" width="14.33203125" style="45" customWidth="1"/>
    <col min="19" max="256" width="8.83203125" style="45" customWidth="1"/>
  </cols>
  <sheetData>
    <row r="1" spans="1:19" ht="15" customHeight="1" x14ac:dyDescent="0.2">
      <c r="A1" s="2" t="s">
        <v>0</v>
      </c>
      <c r="B1" s="2" t="s">
        <v>1</v>
      </c>
      <c r="C1" s="3"/>
      <c r="D1" s="3"/>
      <c r="E1" s="2" t="s">
        <v>2</v>
      </c>
      <c r="F1" s="2" t="s">
        <v>34</v>
      </c>
      <c r="G1" s="3"/>
      <c r="H1" s="3"/>
      <c r="I1" s="3"/>
      <c r="J1" s="2" t="s">
        <v>4</v>
      </c>
      <c r="K1" s="3"/>
      <c r="L1" s="3"/>
      <c r="M1" s="3"/>
      <c r="N1" s="3"/>
      <c r="O1" s="3"/>
      <c r="P1" s="3"/>
      <c r="Q1" s="3"/>
      <c r="R1" s="3"/>
      <c r="S1" s="3"/>
    </row>
    <row r="2" spans="1:19" ht="15" customHeight="1" x14ac:dyDescent="0.2">
      <c r="A2" s="2" t="s">
        <v>5</v>
      </c>
      <c r="B2" s="2" t="s">
        <v>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5" customHeight="1" x14ac:dyDescent="0.2">
      <c r="A4" s="3"/>
      <c r="B4" s="3"/>
      <c r="C4" s="4" t="s">
        <v>7</v>
      </c>
      <c r="D4" s="3"/>
      <c r="E4" s="3"/>
      <c r="F4" s="3"/>
      <c r="G4" s="4" t="s">
        <v>8</v>
      </c>
      <c r="H4" s="3"/>
      <c r="I4" s="3"/>
      <c r="J4" s="3"/>
      <c r="K4" s="3"/>
      <c r="L4" s="3"/>
      <c r="M4" s="3"/>
      <c r="N4" s="3"/>
      <c r="O4" s="3"/>
      <c r="P4" s="3"/>
      <c r="Q4" s="4" t="s">
        <v>9</v>
      </c>
      <c r="R4" s="3"/>
      <c r="S4" s="3"/>
    </row>
    <row r="5" spans="1:19" ht="15" customHeight="1" x14ac:dyDescent="0.2">
      <c r="A5" s="3"/>
      <c r="B5" s="3"/>
      <c r="C5" s="3"/>
      <c r="D5" s="3"/>
      <c r="E5" s="3"/>
      <c r="F5" s="3"/>
      <c r="G5" s="3"/>
      <c r="H5" s="3"/>
      <c r="I5" s="3"/>
      <c r="J5" s="2" t="s">
        <v>10</v>
      </c>
      <c r="K5" s="2" t="s">
        <v>10</v>
      </c>
      <c r="L5" s="2" t="s">
        <v>10</v>
      </c>
      <c r="M5" s="3"/>
      <c r="N5" s="3"/>
      <c r="O5" s="3"/>
      <c r="P5" s="3"/>
      <c r="Q5" s="3"/>
      <c r="R5" s="3"/>
      <c r="S5" s="3"/>
    </row>
    <row r="6" spans="1:19" ht="15" customHeight="1" x14ac:dyDescent="0.2">
      <c r="A6" s="3"/>
      <c r="B6" s="3"/>
      <c r="C6" s="3"/>
      <c r="D6" s="3"/>
      <c r="E6" s="3"/>
      <c r="F6" s="5" t="s">
        <v>11</v>
      </c>
      <c r="G6" s="5" t="s">
        <v>11</v>
      </c>
      <c r="H6" s="5" t="s">
        <v>11</v>
      </c>
      <c r="I6" s="2" t="s">
        <v>12</v>
      </c>
      <c r="J6" s="5" t="s">
        <v>11</v>
      </c>
      <c r="K6" s="5" t="s">
        <v>11</v>
      </c>
      <c r="L6" s="5" t="s">
        <v>11</v>
      </c>
      <c r="M6" s="6"/>
      <c r="N6" s="3"/>
      <c r="O6" s="3"/>
      <c r="P6" s="5" t="s">
        <v>13</v>
      </c>
      <c r="Q6" s="5" t="s">
        <v>14</v>
      </c>
      <c r="R6" s="5" t="s">
        <v>15</v>
      </c>
      <c r="S6" s="3"/>
    </row>
    <row r="7" spans="1:19" ht="15" customHeight="1" x14ac:dyDescent="0.2">
      <c r="A7" s="7"/>
      <c r="B7" s="7"/>
      <c r="C7" s="8" t="s">
        <v>16</v>
      </c>
      <c r="D7" s="8" t="s">
        <v>17</v>
      </c>
      <c r="E7" s="7"/>
      <c r="F7" s="9" t="s">
        <v>18</v>
      </c>
      <c r="G7" s="9" t="s">
        <v>19</v>
      </c>
      <c r="H7" s="9" t="s">
        <v>20</v>
      </c>
      <c r="I7" s="9" t="s">
        <v>35</v>
      </c>
      <c r="J7" s="9" t="s">
        <v>18</v>
      </c>
      <c r="K7" s="9" t="s">
        <v>19</v>
      </c>
      <c r="L7" s="9" t="s">
        <v>20</v>
      </c>
      <c r="M7" s="10"/>
      <c r="N7" s="8" t="s">
        <v>17</v>
      </c>
      <c r="O7" s="7"/>
      <c r="P7" s="9" t="s">
        <v>30</v>
      </c>
      <c r="Q7" s="9" t="s">
        <v>23</v>
      </c>
      <c r="R7" s="9" t="s">
        <v>31</v>
      </c>
      <c r="S7" s="7"/>
    </row>
    <row r="8" spans="1:19" ht="15" customHeight="1" x14ac:dyDescent="0.2">
      <c r="A8" s="40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2"/>
    </row>
    <row r="9" spans="1:19" ht="15" customHeight="1" x14ac:dyDescent="0.2">
      <c r="A9" s="15"/>
      <c r="B9" s="15"/>
      <c r="C9" s="16">
        <v>1950</v>
      </c>
      <c r="D9" s="16">
        <v>1950</v>
      </c>
      <c r="E9" s="15"/>
      <c r="F9" s="16">
        <v>16</v>
      </c>
      <c r="G9" s="16">
        <v>11</v>
      </c>
      <c r="H9" s="16">
        <v>7</v>
      </c>
      <c r="I9" s="16">
        <v>0</v>
      </c>
      <c r="J9" s="16">
        <f>SUM(F9:F18)/8</f>
        <v>17.25</v>
      </c>
      <c r="K9" s="16">
        <f>SUM(G9:G18)/8</f>
        <v>12</v>
      </c>
      <c r="L9" s="16">
        <f>SUM(H9:H18)/8</f>
        <v>6.625</v>
      </c>
      <c r="M9" s="15"/>
      <c r="N9" s="16">
        <v>1950</v>
      </c>
      <c r="O9" s="15"/>
      <c r="P9" s="15"/>
      <c r="Q9" s="15"/>
      <c r="R9" s="15"/>
      <c r="S9" s="15"/>
    </row>
    <row r="10" spans="1:19" ht="15" customHeight="1" x14ac:dyDescent="0.2">
      <c r="A10" s="3"/>
      <c r="B10" s="3"/>
      <c r="C10" s="3"/>
      <c r="D10" s="22">
        <v>1951</v>
      </c>
      <c r="E10" s="3"/>
      <c r="F10" s="22">
        <v>15</v>
      </c>
      <c r="G10" s="22">
        <v>11</v>
      </c>
      <c r="H10" s="22">
        <v>6</v>
      </c>
      <c r="I10" s="22">
        <v>0</v>
      </c>
      <c r="J10" s="3"/>
      <c r="K10" s="3"/>
      <c r="L10" s="3"/>
      <c r="M10" s="3"/>
      <c r="N10" s="22">
        <v>1951</v>
      </c>
      <c r="O10" s="3"/>
      <c r="P10" s="3"/>
      <c r="Q10" s="3"/>
      <c r="R10" s="3"/>
      <c r="S10" s="3"/>
    </row>
    <row r="11" spans="1:19" ht="15" customHeight="1" x14ac:dyDescent="0.2">
      <c r="A11" s="3"/>
      <c r="B11" s="3"/>
      <c r="C11" s="3"/>
      <c r="D11" s="22">
        <v>1952</v>
      </c>
      <c r="E11" s="3"/>
      <c r="F11" s="22">
        <v>15</v>
      </c>
      <c r="G11" s="22">
        <v>9</v>
      </c>
      <c r="H11" s="22">
        <v>4</v>
      </c>
      <c r="I11" s="22">
        <v>0</v>
      </c>
      <c r="J11" s="3"/>
      <c r="K11" s="3"/>
      <c r="L11" s="3"/>
      <c r="M11" s="3"/>
      <c r="N11" s="22">
        <v>1952</v>
      </c>
      <c r="O11" s="3"/>
      <c r="P11" s="3"/>
      <c r="Q11" s="3"/>
      <c r="R11" s="3"/>
      <c r="S11" s="3"/>
    </row>
    <row r="12" spans="1:19" ht="15" customHeight="1" x14ac:dyDescent="0.2">
      <c r="A12" s="3"/>
      <c r="B12" s="3"/>
      <c r="C12" s="3"/>
      <c r="D12" s="22">
        <v>1953</v>
      </c>
      <c r="E12" s="3"/>
      <c r="F12" s="22">
        <v>17</v>
      </c>
      <c r="G12" s="22">
        <v>12</v>
      </c>
      <c r="H12" s="22">
        <v>7</v>
      </c>
      <c r="I12" s="22">
        <v>0</v>
      </c>
      <c r="J12" s="3"/>
      <c r="K12" s="3"/>
      <c r="L12" s="3"/>
      <c r="M12" s="3"/>
      <c r="N12" s="22">
        <v>1953</v>
      </c>
      <c r="O12" s="3"/>
      <c r="P12" s="3"/>
      <c r="Q12" s="3"/>
      <c r="R12" s="3"/>
      <c r="S12" s="3"/>
    </row>
    <row r="13" spans="1:19" ht="15" customHeight="1" x14ac:dyDescent="0.2">
      <c r="A13" s="3"/>
      <c r="B13" s="3"/>
      <c r="C13" s="3"/>
      <c r="D13" s="22">
        <v>1954</v>
      </c>
      <c r="E13" s="3"/>
      <c r="F13" s="22">
        <v>17</v>
      </c>
      <c r="G13" s="22">
        <v>13</v>
      </c>
      <c r="H13" s="22">
        <v>8</v>
      </c>
      <c r="I13" s="22">
        <v>0</v>
      </c>
      <c r="J13" s="3"/>
      <c r="K13" s="3"/>
      <c r="L13" s="3"/>
      <c r="M13" s="3"/>
      <c r="N13" s="22">
        <v>1954</v>
      </c>
      <c r="O13" s="3"/>
      <c r="P13" s="3"/>
      <c r="Q13" s="3"/>
      <c r="R13" s="3"/>
      <c r="S13" s="3"/>
    </row>
    <row r="14" spans="1:19" ht="15" customHeight="1" x14ac:dyDescent="0.2">
      <c r="A14" s="3"/>
      <c r="B14" s="3"/>
      <c r="C14" s="3"/>
      <c r="D14" s="22">
        <v>1955</v>
      </c>
      <c r="E14" s="3"/>
      <c r="F14" s="22">
        <v>15</v>
      </c>
      <c r="G14" s="22">
        <v>11</v>
      </c>
      <c r="H14" s="22">
        <v>6</v>
      </c>
      <c r="I14" s="22">
        <v>0</v>
      </c>
      <c r="J14" s="3"/>
      <c r="K14" s="3"/>
      <c r="L14" s="3"/>
      <c r="M14" s="3"/>
      <c r="N14" s="22">
        <v>1955</v>
      </c>
      <c r="O14" s="3"/>
      <c r="P14" s="3"/>
      <c r="Q14" s="3"/>
      <c r="R14" s="3"/>
      <c r="S14" s="3"/>
    </row>
    <row r="15" spans="1:19" ht="15" customHeight="1" x14ac:dyDescent="0.2">
      <c r="A15" s="3"/>
      <c r="B15" s="3"/>
      <c r="C15" s="3"/>
      <c r="D15" s="22">
        <v>1956</v>
      </c>
      <c r="E15" s="3"/>
      <c r="F15" s="22">
        <v>16</v>
      </c>
      <c r="G15" s="22">
        <v>11</v>
      </c>
      <c r="H15" s="22">
        <v>6</v>
      </c>
      <c r="I15" s="22">
        <v>0</v>
      </c>
      <c r="J15" s="3"/>
      <c r="K15" s="3"/>
      <c r="L15" s="3"/>
      <c r="M15" s="3"/>
      <c r="N15" s="22">
        <v>1956</v>
      </c>
      <c r="O15" s="3"/>
      <c r="P15" s="3"/>
      <c r="Q15" s="3"/>
      <c r="R15" s="3"/>
      <c r="S15" s="3"/>
    </row>
    <row r="16" spans="1:19" ht="15" customHeight="1" x14ac:dyDescent="0.2">
      <c r="A16" s="3"/>
      <c r="B16" s="3"/>
      <c r="C16" s="3"/>
      <c r="D16" s="22">
        <v>1957</v>
      </c>
      <c r="E16" s="3"/>
      <c r="F16" s="22">
        <v>14</v>
      </c>
      <c r="G16" s="22">
        <v>10</v>
      </c>
      <c r="H16" s="22">
        <v>5</v>
      </c>
      <c r="I16" s="22">
        <v>0</v>
      </c>
      <c r="J16" s="3"/>
      <c r="K16" s="3"/>
      <c r="L16" s="3"/>
      <c r="M16" s="3"/>
      <c r="N16" s="22">
        <v>1957</v>
      </c>
      <c r="O16" s="3"/>
      <c r="P16" s="22">
        <v>71.12</v>
      </c>
      <c r="Q16" s="22">
        <v>8</v>
      </c>
      <c r="R16" s="22">
        <v>0</v>
      </c>
      <c r="S16" s="3"/>
    </row>
    <row r="17" spans="1:19" ht="15" customHeight="1" x14ac:dyDescent="0.2">
      <c r="A17" s="3"/>
      <c r="B17" s="3"/>
      <c r="C17" s="3"/>
      <c r="D17" s="22">
        <v>1958</v>
      </c>
      <c r="E17" s="3"/>
      <c r="F17" s="22">
        <v>13</v>
      </c>
      <c r="G17" s="22">
        <v>8</v>
      </c>
      <c r="H17" s="22">
        <v>4</v>
      </c>
      <c r="I17" s="22">
        <v>0</v>
      </c>
      <c r="J17" s="3"/>
      <c r="K17" s="3"/>
      <c r="L17" s="3"/>
      <c r="M17" s="3"/>
      <c r="N17" s="22">
        <v>1958</v>
      </c>
      <c r="O17" s="3"/>
      <c r="P17" s="22">
        <v>76.2</v>
      </c>
      <c r="Q17" s="22">
        <v>9</v>
      </c>
      <c r="R17" s="22">
        <v>0</v>
      </c>
      <c r="S17" s="3"/>
    </row>
    <row r="18" spans="1:19" ht="15" customHeight="1" x14ac:dyDescent="0.2">
      <c r="A18" s="3"/>
      <c r="B18" s="3"/>
      <c r="C18" s="3"/>
      <c r="D18" s="22">
        <v>1959</v>
      </c>
      <c r="E18" s="3"/>
      <c r="F18" s="3"/>
      <c r="G18" s="3"/>
      <c r="H18" s="3"/>
      <c r="I18" s="3"/>
      <c r="J18" s="3"/>
      <c r="K18" s="3"/>
      <c r="L18" s="3"/>
      <c r="M18" s="3"/>
      <c r="N18" s="22">
        <v>1959</v>
      </c>
      <c r="O18" s="3"/>
      <c r="P18" s="3"/>
      <c r="Q18" s="3"/>
      <c r="R18" s="3"/>
      <c r="S18" s="3"/>
    </row>
    <row r="19" spans="1:19" ht="15" customHeight="1" x14ac:dyDescent="0.2">
      <c r="A19" s="3"/>
      <c r="B19" s="3"/>
      <c r="C19" s="22">
        <v>1960</v>
      </c>
      <c r="D19" s="22">
        <v>1960</v>
      </c>
      <c r="E19" s="3"/>
      <c r="F19" s="22">
        <v>14</v>
      </c>
      <c r="G19" s="22">
        <v>9</v>
      </c>
      <c r="H19" s="22">
        <v>5</v>
      </c>
      <c r="I19" s="22">
        <v>0</v>
      </c>
      <c r="J19" s="22">
        <f>SUM(F19:F28)/10</f>
        <v>15.3</v>
      </c>
      <c r="K19" s="22">
        <f>SUM(G19:G28)/10</f>
        <v>10.6</v>
      </c>
      <c r="L19" s="22">
        <f>SUM(H19:H28)/10</f>
        <v>6</v>
      </c>
      <c r="M19" s="3"/>
      <c r="N19" s="22">
        <v>1960</v>
      </c>
      <c r="O19" s="3"/>
      <c r="P19" s="22">
        <v>62.74</v>
      </c>
      <c r="Q19" s="22">
        <v>10</v>
      </c>
      <c r="R19" s="22">
        <v>0</v>
      </c>
      <c r="S19" s="3"/>
    </row>
    <row r="20" spans="1:19" ht="15" customHeight="1" x14ac:dyDescent="0.2">
      <c r="A20" s="3"/>
      <c r="B20" s="3"/>
      <c r="C20" s="3"/>
      <c r="D20" s="22">
        <v>1961</v>
      </c>
      <c r="E20" s="3"/>
      <c r="F20" s="22">
        <v>16</v>
      </c>
      <c r="G20" s="22">
        <v>11</v>
      </c>
      <c r="H20" s="22">
        <v>7</v>
      </c>
      <c r="I20" s="22">
        <v>0</v>
      </c>
      <c r="J20" s="3"/>
      <c r="K20" s="3"/>
      <c r="L20" s="3"/>
      <c r="M20" s="3"/>
      <c r="N20" s="22">
        <v>1961</v>
      </c>
      <c r="O20" s="3"/>
      <c r="P20" s="22">
        <v>64</v>
      </c>
      <c r="Q20" s="22">
        <v>8</v>
      </c>
      <c r="R20" s="22">
        <v>0</v>
      </c>
      <c r="S20" s="3"/>
    </row>
    <row r="21" spans="1:19" ht="15" customHeight="1" x14ac:dyDescent="0.2">
      <c r="A21" s="3"/>
      <c r="B21" s="3"/>
      <c r="C21" s="3"/>
      <c r="D21" s="22">
        <v>1962</v>
      </c>
      <c r="E21" s="3"/>
      <c r="F21" s="22">
        <v>14</v>
      </c>
      <c r="G21" s="22">
        <v>9</v>
      </c>
      <c r="H21" s="22">
        <v>5</v>
      </c>
      <c r="I21" s="22">
        <v>0</v>
      </c>
      <c r="J21" s="3"/>
      <c r="K21" s="3"/>
      <c r="L21" s="3"/>
      <c r="M21" s="3"/>
      <c r="N21" s="22">
        <v>1962</v>
      </c>
      <c r="O21" s="3"/>
      <c r="P21" s="22">
        <v>206.99</v>
      </c>
      <c r="Q21" s="22">
        <v>13</v>
      </c>
      <c r="R21" s="22">
        <v>1</v>
      </c>
      <c r="S21" s="3"/>
    </row>
    <row r="22" spans="1:19" ht="15" customHeight="1" x14ac:dyDescent="0.2">
      <c r="A22" s="3"/>
      <c r="B22" s="3"/>
      <c r="C22" s="3"/>
      <c r="D22" s="22">
        <v>1963</v>
      </c>
      <c r="E22" s="3"/>
      <c r="F22" s="22">
        <v>20</v>
      </c>
      <c r="G22" s="22">
        <v>14</v>
      </c>
      <c r="H22" s="22">
        <v>8</v>
      </c>
      <c r="I22" s="22">
        <v>0</v>
      </c>
      <c r="J22" s="3"/>
      <c r="K22" s="3"/>
      <c r="L22" s="3"/>
      <c r="M22" s="3"/>
      <c r="N22" s="22">
        <v>1963</v>
      </c>
      <c r="O22" s="3"/>
      <c r="P22" s="22">
        <v>36.07</v>
      </c>
      <c r="Q22" s="22">
        <v>3</v>
      </c>
      <c r="R22" s="22">
        <v>0</v>
      </c>
      <c r="S22" s="3"/>
    </row>
    <row r="23" spans="1:19" ht="15" customHeight="1" x14ac:dyDescent="0.2">
      <c r="A23" s="3"/>
      <c r="B23" s="3"/>
      <c r="C23" s="3"/>
      <c r="D23" s="22">
        <v>1964</v>
      </c>
      <c r="E23" s="3"/>
      <c r="F23" s="22">
        <v>15</v>
      </c>
      <c r="G23" s="22">
        <v>10</v>
      </c>
      <c r="H23" s="22">
        <v>5</v>
      </c>
      <c r="I23" s="22">
        <v>0</v>
      </c>
      <c r="J23" s="3"/>
      <c r="K23" s="3"/>
      <c r="L23" s="3"/>
      <c r="M23" s="3"/>
      <c r="N23" s="22">
        <v>1964</v>
      </c>
      <c r="O23" s="3"/>
      <c r="P23" s="22">
        <v>51.32</v>
      </c>
      <c r="Q23" s="22">
        <v>8</v>
      </c>
      <c r="R23" s="22">
        <v>0</v>
      </c>
      <c r="S23" s="3"/>
    </row>
    <row r="24" spans="1:19" ht="15" customHeight="1" x14ac:dyDescent="0.2">
      <c r="A24" s="3"/>
      <c r="B24" s="3"/>
      <c r="C24" s="3"/>
      <c r="D24" s="22">
        <v>1965</v>
      </c>
      <c r="E24" s="3"/>
      <c r="F24" s="22">
        <v>15</v>
      </c>
      <c r="G24" s="22">
        <v>10</v>
      </c>
      <c r="H24" s="22">
        <v>5</v>
      </c>
      <c r="I24" s="22">
        <v>0</v>
      </c>
      <c r="J24" s="3"/>
      <c r="K24" s="3"/>
      <c r="L24" s="3"/>
      <c r="M24" s="3"/>
      <c r="N24" s="22">
        <v>1965</v>
      </c>
      <c r="O24" s="3"/>
      <c r="P24" s="22">
        <v>25.64</v>
      </c>
      <c r="Q24" s="22">
        <v>7</v>
      </c>
      <c r="R24" s="22">
        <v>0</v>
      </c>
      <c r="S24" s="3"/>
    </row>
    <row r="25" spans="1:19" ht="15" customHeight="1" x14ac:dyDescent="0.2">
      <c r="A25" s="3"/>
      <c r="B25" s="3"/>
      <c r="C25" s="3"/>
      <c r="D25" s="22">
        <v>1966</v>
      </c>
      <c r="E25" s="3"/>
      <c r="F25" s="22">
        <v>14</v>
      </c>
      <c r="G25" s="22">
        <v>10</v>
      </c>
      <c r="H25" s="22">
        <v>5</v>
      </c>
      <c r="I25" s="22">
        <v>0</v>
      </c>
      <c r="J25" s="3"/>
      <c r="K25" s="3"/>
      <c r="L25" s="3"/>
      <c r="M25" s="3"/>
      <c r="N25" s="22">
        <v>1966</v>
      </c>
      <c r="O25" s="3"/>
      <c r="P25" s="22">
        <v>33.79</v>
      </c>
      <c r="Q25" s="22">
        <v>6</v>
      </c>
      <c r="R25" s="22">
        <v>0</v>
      </c>
      <c r="S25" s="3"/>
    </row>
    <row r="26" spans="1:19" ht="15" customHeight="1" x14ac:dyDescent="0.2">
      <c r="A26" s="3"/>
      <c r="B26" s="3"/>
      <c r="C26" s="3"/>
      <c r="D26" s="22">
        <v>1967</v>
      </c>
      <c r="E26" s="3"/>
      <c r="F26" s="22">
        <v>15</v>
      </c>
      <c r="G26" s="22">
        <v>11</v>
      </c>
      <c r="H26" s="22">
        <v>6</v>
      </c>
      <c r="I26" s="22">
        <v>0</v>
      </c>
      <c r="J26" s="3"/>
      <c r="K26" s="3"/>
      <c r="L26" s="3"/>
      <c r="M26" s="3"/>
      <c r="N26" s="22">
        <v>1967</v>
      </c>
      <c r="O26" s="3"/>
      <c r="P26" s="22">
        <v>14.48</v>
      </c>
      <c r="Q26" s="22">
        <v>5</v>
      </c>
      <c r="R26" s="22">
        <v>0</v>
      </c>
      <c r="S26" s="3"/>
    </row>
    <row r="27" spans="1:19" ht="15" customHeight="1" x14ac:dyDescent="0.2">
      <c r="A27" s="3"/>
      <c r="B27" s="3"/>
      <c r="C27" s="3"/>
      <c r="D27" s="22">
        <v>1968</v>
      </c>
      <c r="E27" s="3"/>
      <c r="F27" s="22">
        <v>16</v>
      </c>
      <c r="G27" s="22">
        <v>12</v>
      </c>
      <c r="H27" s="22">
        <v>8</v>
      </c>
      <c r="I27" s="22">
        <v>0</v>
      </c>
      <c r="J27" s="3"/>
      <c r="K27" s="3"/>
      <c r="L27" s="3"/>
      <c r="M27" s="3"/>
      <c r="N27" s="22">
        <v>1968</v>
      </c>
      <c r="O27" s="3"/>
      <c r="P27" s="22">
        <v>18.03</v>
      </c>
      <c r="Q27" s="22">
        <v>4</v>
      </c>
      <c r="R27" s="3"/>
      <c r="S27" s="3"/>
    </row>
    <row r="28" spans="1:19" ht="15" customHeight="1" x14ac:dyDescent="0.2">
      <c r="A28" s="3"/>
      <c r="B28" s="3"/>
      <c r="C28" s="3"/>
      <c r="D28" s="22">
        <v>1969</v>
      </c>
      <c r="E28" s="3"/>
      <c r="F28" s="22">
        <v>14</v>
      </c>
      <c r="G28" s="22">
        <v>10</v>
      </c>
      <c r="H28" s="22">
        <v>6</v>
      </c>
      <c r="I28" s="22">
        <v>0</v>
      </c>
      <c r="J28" s="3"/>
      <c r="K28" s="3"/>
      <c r="L28" s="3"/>
      <c r="M28" s="3"/>
      <c r="N28" s="22">
        <v>1969</v>
      </c>
      <c r="O28" s="3"/>
      <c r="P28" s="22">
        <v>13.97</v>
      </c>
      <c r="Q28" s="22">
        <v>6</v>
      </c>
      <c r="R28" s="22">
        <v>0</v>
      </c>
      <c r="S28" s="3"/>
    </row>
    <row r="29" spans="1:19" ht="15" customHeight="1" x14ac:dyDescent="0.2">
      <c r="A29" s="3"/>
      <c r="B29" s="3"/>
      <c r="C29" s="22">
        <v>1970</v>
      </c>
      <c r="D29" s="22">
        <v>1970</v>
      </c>
      <c r="E29" s="3"/>
      <c r="F29" s="22">
        <v>15</v>
      </c>
      <c r="G29" s="22">
        <v>11</v>
      </c>
      <c r="H29" s="22">
        <v>7</v>
      </c>
      <c r="I29" s="22">
        <v>0</v>
      </c>
      <c r="J29" s="22">
        <f>SUM(F29:F38)/4</f>
        <v>35</v>
      </c>
      <c r="K29" s="22">
        <f>SUM(G29:G38)/4</f>
        <v>24.5</v>
      </c>
      <c r="L29" s="22">
        <f>SUM(H29:H38)/4</f>
        <v>13.75</v>
      </c>
      <c r="M29" s="3"/>
      <c r="N29" s="22">
        <v>1970</v>
      </c>
      <c r="O29" s="3"/>
      <c r="P29" s="22">
        <v>21.09</v>
      </c>
      <c r="Q29" s="22">
        <v>6</v>
      </c>
      <c r="R29" s="22">
        <v>0</v>
      </c>
      <c r="S29" s="3"/>
    </row>
    <row r="30" spans="1:19" ht="15" customHeight="1" x14ac:dyDescent="0.2">
      <c r="A30" s="3"/>
      <c r="B30" s="3"/>
      <c r="C30" s="3"/>
      <c r="D30" s="22">
        <v>1971</v>
      </c>
      <c r="E30" s="3"/>
      <c r="F30" s="22">
        <v>18</v>
      </c>
      <c r="G30" s="22">
        <v>14</v>
      </c>
      <c r="H30" s="22">
        <v>9</v>
      </c>
      <c r="I30" s="22">
        <v>0</v>
      </c>
      <c r="J30" s="3"/>
      <c r="K30" s="3"/>
      <c r="L30" s="3"/>
      <c r="M30" s="3"/>
      <c r="N30" s="22">
        <v>1971</v>
      </c>
      <c r="O30" s="3"/>
      <c r="P30" s="22">
        <v>36.07</v>
      </c>
      <c r="Q30" s="22">
        <v>4</v>
      </c>
      <c r="R30" s="3"/>
      <c r="S30" s="3"/>
    </row>
    <row r="31" spans="1:19" ht="15" customHeight="1" x14ac:dyDescent="0.2">
      <c r="A31" s="3"/>
      <c r="B31" s="3"/>
      <c r="C31" s="3"/>
      <c r="D31" s="22">
        <v>1972</v>
      </c>
      <c r="E31" s="3"/>
      <c r="F31" s="22">
        <v>11</v>
      </c>
      <c r="G31" s="22">
        <v>7</v>
      </c>
      <c r="H31" s="22">
        <v>3</v>
      </c>
      <c r="I31" s="22">
        <v>0</v>
      </c>
      <c r="J31" s="3"/>
      <c r="K31" s="3"/>
      <c r="L31" s="3"/>
      <c r="M31" s="3"/>
      <c r="N31" s="22">
        <v>1972</v>
      </c>
      <c r="O31" s="3"/>
      <c r="P31" s="22">
        <v>47.23</v>
      </c>
      <c r="Q31" s="22">
        <v>7</v>
      </c>
      <c r="R31" s="22">
        <v>0</v>
      </c>
      <c r="S31" s="3"/>
    </row>
    <row r="32" spans="1:19" ht="15" customHeight="1" x14ac:dyDescent="0.2">
      <c r="A32" s="3"/>
      <c r="B32" s="3"/>
      <c r="C32" s="3"/>
      <c r="D32" s="22">
        <v>1973</v>
      </c>
      <c r="E32" s="3"/>
      <c r="F32" s="22">
        <v>15</v>
      </c>
      <c r="G32" s="22">
        <v>11</v>
      </c>
      <c r="H32" s="22">
        <v>6</v>
      </c>
      <c r="I32" s="22">
        <v>0</v>
      </c>
      <c r="J32" s="3"/>
      <c r="K32" s="3"/>
      <c r="L32" s="3"/>
      <c r="M32" s="3"/>
      <c r="N32" s="22">
        <v>1973</v>
      </c>
      <c r="O32" s="3"/>
      <c r="P32" s="22">
        <v>123.45</v>
      </c>
      <c r="Q32" s="22">
        <v>9</v>
      </c>
      <c r="R32" s="22">
        <v>0</v>
      </c>
      <c r="S32" s="3"/>
    </row>
    <row r="33" spans="1:19" ht="15" customHeight="1" x14ac:dyDescent="0.2">
      <c r="A33" s="3"/>
      <c r="B33" s="3"/>
      <c r="C33" s="3"/>
      <c r="D33" s="22">
        <v>1974</v>
      </c>
      <c r="E33" s="3"/>
      <c r="F33" s="22">
        <v>13</v>
      </c>
      <c r="G33" s="22">
        <v>8</v>
      </c>
      <c r="H33" s="22">
        <v>3</v>
      </c>
      <c r="I33" s="22">
        <v>0</v>
      </c>
      <c r="J33" s="3"/>
      <c r="K33" s="3"/>
      <c r="L33" s="3"/>
      <c r="M33" s="3"/>
      <c r="N33" s="22">
        <v>1974</v>
      </c>
      <c r="O33" s="3"/>
      <c r="P33" s="22">
        <v>73.400000000000006</v>
      </c>
      <c r="Q33" s="22">
        <v>9</v>
      </c>
      <c r="R33" s="22">
        <v>0</v>
      </c>
      <c r="S33" s="3"/>
    </row>
    <row r="34" spans="1:19" ht="15" customHeight="1" x14ac:dyDescent="0.2">
      <c r="A34" s="3"/>
      <c r="B34" s="3"/>
      <c r="C34" s="3"/>
      <c r="D34" s="22">
        <v>1975</v>
      </c>
      <c r="E34" s="3"/>
      <c r="F34" s="22">
        <v>15</v>
      </c>
      <c r="G34" s="22">
        <v>11</v>
      </c>
      <c r="H34" s="22">
        <v>6</v>
      </c>
      <c r="I34" s="22">
        <v>0</v>
      </c>
      <c r="J34" s="3"/>
      <c r="K34" s="3"/>
      <c r="L34" s="3"/>
      <c r="M34" s="3"/>
      <c r="N34" s="22">
        <v>1975</v>
      </c>
      <c r="O34" s="3"/>
      <c r="P34" s="22">
        <v>156.72</v>
      </c>
      <c r="Q34" s="22">
        <v>17</v>
      </c>
      <c r="R34" s="22">
        <v>0</v>
      </c>
      <c r="S34" s="3"/>
    </row>
    <row r="35" spans="1:19" ht="15" customHeight="1" x14ac:dyDescent="0.2">
      <c r="A35" s="3"/>
      <c r="B35" s="3"/>
      <c r="C35" s="3"/>
      <c r="D35" s="22">
        <v>1976</v>
      </c>
      <c r="E35" s="3"/>
      <c r="F35" s="22">
        <v>12</v>
      </c>
      <c r="G35" s="22">
        <v>8</v>
      </c>
      <c r="H35" s="22">
        <v>4</v>
      </c>
      <c r="I35" s="22">
        <v>0</v>
      </c>
      <c r="J35" s="3"/>
      <c r="K35" s="3"/>
      <c r="L35" s="3"/>
      <c r="M35" s="3"/>
      <c r="N35" s="22">
        <v>1976</v>
      </c>
      <c r="O35" s="3"/>
      <c r="P35" s="22">
        <v>101.34</v>
      </c>
      <c r="Q35" s="22">
        <v>20</v>
      </c>
      <c r="R35" s="22">
        <v>0</v>
      </c>
      <c r="S35" s="3"/>
    </row>
    <row r="36" spans="1:19" ht="15" customHeight="1" x14ac:dyDescent="0.2">
      <c r="A36" s="3"/>
      <c r="B36" s="3"/>
      <c r="C36" s="3"/>
      <c r="D36" s="22">
        <v>1977</v>
      </c>
      <c r="E36" s="3"/>
      <c r="F36" s="22">
        <v>14</v>
      </c>
      <c r="G36" s="22">
        <v>10</v>
      </c>
      <c r="H36" s="22">
        <v>6</v>
      </c>
      <c r="I36" s="22">
        <v>0</v>
      </c>
      <c r="J36" s="3"/>
      <c r="K36" s="3"/>
      <c r="L36" s="3"/>
      <c r="M36" s="3"/>
      <c r="N36" s="22">
        <v>1977</v>
      </c>
      <c r="O36" s="3"/>
      <c r="P36" s="22">
        <v>393.7</v>
      </c>
      <c r="Q36" s="22">
        <v>14</v>
      </c>
      <c r="R36" s="22">
        <v>2</v>
      </c>
      <c r="S36" s="3"/>
    </row>
    <row r="37" spans="1:19" ht="15" customHeight="1" x14ac:dyDescent="0.2">
      <c r="A37" s="3"/>
      <c r="B37" s="3"/>
      <c r="C37" s="3"/>
      <c r="D37" s="22">
        <v>1978</v>
      </c>
      <c r="E37" s="3"/>
      <c r="F37" s="22">
        <v>14</v>
      </c>
      <c r="G37" s="22">
        <v>9</v>
      </c>
      <c r="H37" s="22">
        <v>5</v>
      </c>
      <c r="I37" s="22">
        <v>0</v>
      </c>
      <c r="J37" s="3"/>
      <c r="K37" s="3"/>
      <c r="L37" s="3"/>
      <c r="M37" s="3"/>
      <c r="N37" s="22">
        <v>1978</v>
      </c>
      <c r="O37" s="3"/>
      <c r="P37" s="22">
        <v>51.56</v>
      </c>
      <c r="Q37" s="22">
        <v>10</v>
      </c>
      <c r="R37" s="22">
        <v>0</v>
      </c>
      <c r="S37" s="3"/>
    </row>
    <row r="38" spans="1:19" ht="15" customHeight="1" x14ac:dyDescent="0.2">
      <c r="A38" s="3"/>
      <c r="B38" s="3"/>
      <c r="C38" s="3"/>
      <c r="D38" s="22">
        <v>1979</v>
      </c>
      <c r="E38" s="3"/>
      <c r="F38" s="22">
        <v>13</v>
      </c>
      <c r="G38" s="22">
        <v>9</v>
      </c>
      <c r="H38" s="22">
        <v>6</v>
      </c>
      <c r="I38" s="22">
        <v>0</v>
      </c>
      <c r="J38" s="3"/>
      <c r="K38" s="3"/>
      <c r="L38" s="3"/>
      <c r="M38" s="3"/>
      <c r="N38" s="22">
        <v>1979</v>
      </c>
      <c r="O38" s="3"/>
      <c r="P38" s="22">
        <v>145.81</v>
      </c>
      <c r="Q38" s="22">
        <v>12</v>
      </c>
      <c r="R38" s="22">
        <v>0</v>
      </c>
      <c r="S38" s="3"/>
    </row>
    <row r="39" spans="1:19" ht="15" customHeight="1" x14ac:dyDescent="0.2">
      <c r="A39" s="3"/>
      <c r="B39" s="3"/>
      <c r="C39" s="22">
        <v>1980</v>
      </c>
      <c r="D39" s="22">
        <v>1980</v>
      </c>
      <c r="E39" s="3"/>
      <c r="F39" s="22">
        <v>13</v>
      </c>
      <c r="G39" s="22">
        <v>9</v>
      </c>
      <c r="H39" s="22">
        <v>4</v>
      </c>
      <c r="I39" s="22">
        <v>0</v>
      </c>
      <c r="J39" s="22">
        <f>SUM(F39:F48)/10</f>
        <v>14.2</v>
      </c>
      <c r="K39" s="22">
        <f>SUM(G39:G48)/10</f>
        <v>9.6999999999999993</v>
      </c>
      <c r="L39" s="22">
        <f>SUM(H39:H48)/10</f>
        <v>5.3</v>
      </c>
      <c r="M39" s="3"/>
      <c r="N39" s="22">
        <v>1980</v>
      </c>
      <c r="O39" s="3"/>
      <c r="P39" s="22">
        <v>175.53</v>
      </c>
      <c r="Q39" s="22">
        <v>17</v>
      </c>
      <c r="R39" s="22">
        <v>0</v>
      </c>
      <c r="S39" s="3"/>
    </row>
    <row r="40" spans="1:19" ht="15" customHeight="1" x14ac:dyDescent="0.2">
      <c r="A40" s="3"/>
      <c r="B40" s="3"/>
      <c r="C40" s="3"/>
      <c r="D40" s="22">
        <v>1981</v>
      </c>
      <c r="E40" s="3"/>
      <c r="F40" s="22">
        <v>13</v>
      </c>
      <c r="G40" s="22">
        <v>8</v>
      </c>
      <c r="H40" s="22">
        <v>4</v>
      </c>
      <c r="I40" s="22">
        <v>0</v>
      </c>
      <c r="J40" s="3"/>
      <c r="K40" s="3"/>
      <c r="L40" s="3"/>
      <c r="M40" s="3"/>
      <c r="N40" s="22">
        <v>1981</v>
      </c>
      <c r="O40" s="3"/>
      <c r="P40" s="22">
        <v>127.76</v>
      </c>
      <c r="Q40" s="22">
        <v>13</v>
      </c>
      <c r="R40" s="22">
        <v>0</v>
      </c>
      <c r="S40" s="3"/>
    </row>
    <row r="41" spans="1:19" ht="15" customHeight="1" x14ac:dyDescent="0.2">
      <c r="A41" s="3"/>
      <c r="B41" s="3"/>
      <c r="C41" s="3"/>
      <c r="D41" s="22">
        <v>1982</v>
      </c>
      <c r="E41" s="3"/>
      <c r="F41" s="22">
        <v>15</v>
      </c>
      <c r="G41" s="22">
        <v>11</v>
      </c>
      <c r="H41" s="22">
        <v>6</v>
      </c>
      <c r="I41" s="22">
        <v>0</v>
      </c>
      <c r="J41" s="3"/>
      <c r="K41" s="3"/>
      <c r="L41" s="3"/>
      <c r="M41" s="3"/>
      <c r="N41" s="22">
        <v>1982</v>
      </c>
      <c r="O41" s="3"/>
      <c r="P41" s="22">
        <v>116.6</v>
      </c>
      <c r="Q41" s="22">
        <v>12</v>
      </c>
      <c r="R41" s="22">
        <v>0</v>
      </c>
      <c r="S41" s="3"/>
    </row>
    <row r="42" spans="1:19" ht="15" customHeight="1" x14ac:dyDescent="0.2">
      <c r="A42" s="3"/>
      <c r="B42" s="3"/>
      <c r="C42" s="3"/>
      <c r="D42" s="22">
        <v>1983</v>
      </c>
      <c r="E42" s="3"/>
      <c r="F42" s="22">
        <v>14</v>
      </c>
      <c r="G42" s="22">
        <v>10</v>
      </c>
      <c r="H42" s="22">
        <v>6</v>
      </c>
      <c r="I42" s="22">
        <v>0</v>
      </c>
      <c r="J42" s="3"/>
      <c r="K42" s="3"/>
      <c r="L42" s="3"/>
      <c r="M42" s="3"/>
      <c r="N42" s="22">
        <v>1983</v>
      </c>
      <c r="O42" s="3"/>
      <c r="P42" s="22">
        <v>149.62</v>
      </c>
      <c r="Q42" s="22">
        <v>17</v>
      </c>
      <c r="R42" s="22">
        <v>0</v>
      </c>
      <c r="S42" s="3"/>
    </row>
    <row r="43" spans="1:19" ht="15" customHeight="1" x14ac:dyDescent="0.2">
      <c r="A43" s="3"/>
      <c r="B43" s="3"/>
      <c r="C43" s="3"/>
      <c r="D43" s="22">
        <v>1984</v>
      </c>
      <c r="E43" s="3"/>
      <c r="F43" s="22">
        <v>17</v>
      </c>
      <c r="G43" s="22">
        <v>12</v>
      </c>
      <c r="H43" s="22">
        <v>8</v>
      </c>
      <c r="I43" s="22">
        <v>0</v>
      </c>
      <c r="J43" s="3"/>
      <c r="K43" s="3"/>
      <c r="L43" s="3"/>
      <c r="M43" s="3"/>
      <c r="N43" s="22">
        <v>1984</v>
      </c>
      <c r="O43" s="3"/>
      <c r="P43" s="22">
        <v>97.03</v>
      </c>
      <c r="Q43" s="22">
        <v>12</v>
      </c>
      <c r="R43" s="22">
        <v>0</v>
      </c>
      <c r="S43" s="3"/>
    </row>
    <row r="44" spans="1:19" ht="15" customHeight="1" x14ac:dyDescent="0.2">
      <c r="A44" s="3"/>
      <c r="B44" s="3"/>
      <c r="C44" s="3"/>
      <c r="D44" s="22">
        <v>1985</v>
      </c>
      <c r="E44" s="3"/>
      <c r="F44" s="22">
        <v>15</v>
      </c>
      <c r="G44" s="22">
        <v>11</v>
      </c>
      <c r="H44" s="22">
        <v>7</v>
      </c>
      <c r="I44" s="22">
        <v>0</v>
      </c>
      <c r="J44" s="3"/>
      <c r="K44" s="3"/>
      <c r="L44" s="3"/>
      <c r="M44" s="3"/>
      <c r="N44" s="22">
        <v>1985</v>
      </c>
      <c r="O44" s="3"/>
      <c r="P44" s="22">
        <v>114.05</v>
      </c>
      <c r="Q44" s="22">
        <v>23</v>
      </c>
      <c r="R44" s="22">
        <v>0</v>
      </c>
      <c r="S44" s="3"/>
    </row>
    <row r="45" spans="1:19" ht="15" customHeight="1" x14ac:dyDescent="0.2">
      <c r="A45" s="3"/>
      <c r="B45" s="3"/>
      <c r="C45" s="3"/>
      <c r="D45" s="22">
        <v>1986</v>
      </c>
      <c r="E45" s="3"/>
      <c r="F45" s="22">
        <v>14</v>
      </c>
      <c r="G45" s="22">
        <v>10</v>
      </c>
      <c r="H45" s="22">
        <v>5</v>
      </c>
      <c r="I45" s="22">
        <v>0</v>
      </c>
      <c r="J45" s="3"/>
      <c r="K45" s="3"/>
      <c r="L45" s="3"/>
      <c r="M45" s="3"/>
      <c r="N45" s="22">
        <v>1986</v>
      </c>
      <c r="O45" s="3"/>
      <c r="P45" s="22">
        <v>69.59</v>
      </c>
      <c r="Q45" s="22">
        <v>14</v>
      </c>
      <c r="R45" s="22">
        <v>0</v>
      </c>
      <c r="S45" s="3"/>
    </row>
    <row r="46" spans="1:19" ht="15" customHeight="1" x14ac:dyDescent="0.2">
      <c r="A46" s="3"/>
      <c r="B46" s="3"/>
      <c r="C46" s="3"/>
      <c r="D46" s="22">
        <v>1987</v>
      </c>
      <c r="E46" s="3"/>
      <c r="F46" s="22">
        <v>14</v>
      </c>
      <c r="G46" s="22">
        <v>9</v>
      </c>
      <c r="H46" s="22">
        <v>4</v>
      </c>
      <c r="I46" s="22">
        <v>0</v>
      </c>
      <c r="J46" s="3"/>
      <c r="K46" s="3"/>
      <c r="L46" s="3"/>
      <c r="M46" s="3"/>
      <c r="N46" s="22">
        <v>1987</v>
      </c>
      <c r="O46" s="3"/>
      <c r="P46" s="22">
        <v>111</v>
      </c>
      <c r="Q46" s="22">
        <v>13</v>
      </c>
      <c r="R46" s="22">
        <v>0</v>
      </c>
      <c r="S46" s="3"/>
    </row>
    <row r="47" spans="1:19" ht="15" customHeight="1" x14ac:dyDescent="0.2">
      <c r="A47" s="3"/>
      <c r="B47" s="3"/>
      <c r="C47" s="3"/>
      <c r="D47" s="22">
        <v>1988</v>
      </c>
      <c r="E47" s="3"/>
      <c r="F47" s="22">
        <v>12</v>
      </c>
      <c r="G47" s="22">
        <v>7</v>
      </c>
      <c r="H47" s="22">
        <v>3</v>
      </c>
      <c r="I47" s="22">
        <v>0</v>
      </c>
      <c r="J47" s="3"/>
      <c r="K47" s="3"/>
      <c r="L47" s="3"/>
      <c r="M47" s="3"/>
      <c r="N47" s="22">
        <v>1988</v>
      </c>
      <c r="O47" s="3"/>
      <c r="P47" s="22">
        <v>90.68</v>
      </c>
      <c r="Q47" s="22">
        <v>17</v>
      </c>
      <c r="R47" s="22">
        <v>0</v>
      </c>
      <c r="S47" s="3"/>
    </row>
    <row r="48" spans="1:19" ht="15" customHeight="1" x14ac:dyDescent="0.2">
      <c r="A48" s="3"/>
      <c r="B48" s="3"/>
      <c r="C48" s="3"/>
      <c r="D48" s="22">
        <v>1989</v>
      </c>
      <c r="E48" s="3"/>
      <c r="F48" s="22">
        <v>15</v>
      </c>
      <c r="G48" s="22">
        <v>10</v>
      </c>
      <c r="H48" s="22">
        <v>6</v>
      </c>
      <c r="I48" s="22">
        <v>0</v>
      </c>
      <c r="J48" s="3"/>
      <c r="K48" s="3"/>
      <c r="L48" s="3"/>
      <c r="M48" s="3"/>
      <c r="N48" s="22">
        <v>1989</v>
      </c>
      <c r="O48" s="3"/>
      <c r="P48" s="22">
        <v>518.91999999999996</v>
      </c>
      <c r="Q48" s="22">
        <v>11</v>
      </c>
      <c r="R48" s="22">
        <v>3</v>
      </c>
      <c r="S48" s="3"/>
    </row>
    <row r="49" spans="1:19" ht="15" customHeight="1" x14ac:dyDescent="0.2">
      <c r="A49" s="3"/>
      <c r="B49" s="3"/>
      <c r="C49" s="22">
        <v>1990</v>
      </c>
      <c r="D49" s="22">
        <v>1990</v>
      </c>
      <c r="E49" s="3"/>
      <c r="F49" s="22">
        <v>16</v>
      </c>
      <c r="G49" s="22">
        <v>12</v>
      </c>
      <c r="H49" s="22">
        <v>7</v>
      </c>
      <c r="I49" s="22">
        <v>0</v>
      </c>
      <c r="J49" s="22">
        <f>SUM(F49:F58)/10</f>
        <v>14.7</v>
      </c>
      <c r="K49" s="22">
        <f>SUM(G49:G58)/10</f>
        <v>9.9</v>
      </c>
      <c r="L49" s="22">
        <f>SUM(H49:H58)/10</f>
        <v>5.7</v>
      </c>
      <c r="M49" s="3"/>
      <c r="N49" s="22">
        <v>1990</v>
      </c>
      <c r="O49" s="3"/>
      <c r="P49" s="22">
        <v>563.86</v>
      </c>
      <c r="Q49" s="22">
        <v>17</v>
      </c>
      <c r="R49" s="22">
        <v>3</v>
      </c>
      <c r="S49" s="3"/>
    </row>
    <row r="50" spans="1:19" ht="15" customHeight="1" x14ac:dyDescent="0.2">
      <c r="A50" s="3"/>
      <c r="B50" s="3"/>
      <c r="C50" s="3"/>
      <c r="D50" s="22">
        <v>1991</v>
      </c>
      <c r="E50" s="3"/>
      <c r="F50" s="22">
        <v>16</v>
      </c>
      <c r="G50" s="22">
        <v>11</v>
      </c>
      <c r="H50" s="22">
        <v>7</v>
      </c>
      <c r="I50" s="22">
        <v>0</v>
      </c>
      <c r="J50" s="3"/>
      <c r="K50" s="3"/>
      <c r="L50" s="3"/>
      <c r="M50" s="3"/>
      <c r="N50" s="22">
        <v>1991</v>
      </c>
      <c r="O50" s="3"/>
      <c r="P50" s="22">
        <v>278.81</v>
      </c>
      <c r="Q50" s="22">
        <v>14</v>
      </c>
      <c r="R50" s="22">
        <v>1</v>
      </c>
      <c r="S50" s="3"/>
    </row>
    <row r="51" spans="1:19" ht="15" customHeight="1" x14ac:dyDescent="0.2">
      <c r="A51" s="3"/>
      <c r="B51" s="3"/>
      <c r="C51" s="3"/>
      <c r="D51" s="22">
        <v>1992</v>
      </c>
      <c r="E51" s="3"/>
      <c r="F51" s="22">
        <v>13</v>
      </c>
      <c r="G51" s="22">
        <v>8</v>
      </c>
      <c r="H51" s="22">
        <v>4</v>
      </c>
      <c r="I51" s="22">
        <v>0</v>
      </c>
      <c r="J51" s="3"/>
      <c r="K51" s="3"/>
      <c r="L51" s="3"/>
      <c r="M51" s="3"/>
      <c r="N51" s="22">
        <v>1992</v>
      </c>
      <c r="O51" s="3"/>
      <c r="P51" s="22">
        <v>64.010000000000005</v>
      </c>
      <c r="Q51" s="22">
        <v>16</v>
      </c>
      <c r="R51" s="22">
        <v>0</v>
      </c>
      <c r="S51" s="3"/>
    </row>
    <row r="52" spans="1:19" ht="15" customHeight="1" x14ac:dyDescent="0.2">
      <c r="A52" s="3"/>
      <c r="B52" s="3"/>
      <c r="C52" s="3"/>
      <c r="D52" s="22">
        <v>1993</v>
      </c>
      <c r="E52" s="3"/>
      <c r="F52" s="22">
        <v>13</v>
      </c>
      <c r="G52" s="22">
        <v>8</v>
      </c>
      <c r="H52" s="22">
        <v>4</v>
      </c>
      <c r="I52" s="22">
        <v>0</v>
      </c>
      <c r="J52" s="3"/>
      <c r="K52" s="3"/>
      <c r="L52" s="3"/>
      <c r="M52" s="3"/>
      <c r="N52" s="22">
        <v>1993</v>
      </c>
      <c r="O52" s="3"/>
      <c r="P52" s="22">
        <v>113.53</v>
      </c>
      <c r="Q52" s="22">
        <v>17</v>
      </c>
      <c r="R52" s="22">
        <v>0</v>
      </c>
      <c r="S52" s="3"/>
    </row>
    <row r="53" spans="1:19" ht="15" customHeight="1" x14ac:dyDescent="0.2">
      <c r="A53" s="3"/>
      <c r="B53" s="3"/>
      <c r="C53" s="3"/>
      <c r="D53" s="22">
        <v>1994</v>
      </c>
      <c r="E53" s="3"/>
      <c r="F53" s="22">
        <v>15</v>
      </c>
      <c r="G53" s="22">
        <v>10</v>
      </c>
      <c r="H53" s="22">
        <v>6</v>
      </c>
      <c r="I53" s="22">
        <v>0</v>
      </c>
      <c r="J53" s="3"/>
      <c r="K53" s="3"/>
      <c r="L53" s="3"/>
      <c r="M53" s="3"/>
      <c r="N53" s="22">
        <v>1994</v>
      </c>
      <c r="O53" s="3"/>
      <c r="P53" s="22">
        <v>31.23</v>
      </c>
      <c r="Q53" s="22">
        <v>8</v>
      </c>
      <c r="R53" s="22">
        <v>0</v>
      </c>
      <c r="S53" s="3"/>
    </row>
    <row r="54" spans="1:19" ht="15" customHeight="1" x14ac:dyDescent="0.2">
      <c r="A54" s="3"/>
      <c r="B54" s="3"/>
      <c r="C54" s="3"/>
      <c r="D54" s="22">
        <v>1995</v>
      </c>
      <c r="E54" s="3"/>
      <c r="F54" s="22">
        <v>17</v>
      </c>
      <c r="G54" s="22">
        <v>12</v>
      </c>
      <c r="H54" s="22">
        <v>8</v>
      </c>
      <c r="I54" s="22">
        <v>0</v>
      </c>
      <c r="J54" s="3"/>
      <c r="K54" s="3"/>
      <c r="L54" s="3"/>
      <c r="M54" s="3"/>
      <c r="N54" s="22">
        <v>1995</v>
      </c>
      <c r="O54" s="3"/>
      <c r="P54" s="22">
        <v>229.59</v>
      </c>
      <c r="Q54" s="22">
        <v>17</v>
      </c>
      <c r="R54" s="22">
        <v>1</v>
      </c>
      <c r="S54" s="3"/>
    </row>
    <row r="55" spans="1:19" ht="15" customHeight="1" x14ac:dyDescent="0.2">
      <c r="A55" s="3"/>
      <c r="B55" s="3"/>
      <c r="C55" s="3"/>
      <c r="D55" s="22">
        <v>1996</v>
      </c>
      <c r="E55" s="3"/>
      <c r="F55" s="22">
        <v>14</v>
      </c>
      <c r="G55" s="22">
        <v>10</v>
      </c>
      <c r="H55" s="22">
        <v>5</v>
      </c>
      <c r="I55" s="22">
        <v>0</v>
      </c>
      <c r="J55" s="3"/>
      <c r="K55" s="3"/>
      <c r="L55" s="3"/>
      <c r="M55" s="3"/>
      <c r="N55" s="22">
        <v>1996</v>
      </c>
      <c r="O55" s="3"/>
      <c r="P55" s="22">
        <v>147.57</v>
      </c>
      <c r="Q55" s="22">
        <v>13</v>
      </c>
      <c r="R55" s="22">
        <v>1</v>
      </c>
      <c r="S55" s="3"/>
    </row>
    <row r="56" spans="1:19" ht="15" customHeight="1" x14ac:dyDescent="0.2">
      <c r="A56" s="3"/>
      <c r="B56" s="3"/>
      <c r="C56" s="3"/>
      <c r="D56" s="22">
        <v>1997</v>
      </c>
      <c r="E56" s="3"/>
      <c r="F56" s="22">
        <v>14</v>
      </c>
      <c r="G56" s="22">
        <v>9</v>
      </c>
      <c r="H56" s="22">
        <v>5</v>
      </c>
      <c r="I56" s="22">
        <v>0</v>
      </c>
      <c r="J56" s="3"/>
      <c r="K56" s="3"/>
      <c r="L56" s="3"/>
      <c r="M56" s="3"/>
      <c r="N56" s="22">
        <v>1997</v>
      </c>
      <c r="O56" s="3"/>
      <c r="P56" s="22">
        <v>51.56</v>
      </c>
      <c r="Q56" s="22">
        <v>8</v>
      </c>
      <c r="R56" s="22">
        <v>0</v>
      </c>
      <c r="S56" s="3"/>
    </row>
    <row r="57" spans="1:19" ht="15" customHeight="1" x14ac:dyDescent="0.2">
      <c r="A57" s="3"/>
      <c r="B57" s="3"/>
      <c r="C57" s="3"/>
      <c r="D57" s="22">
        <v>1998</v>
      </c>
      <c r="E57" s="3"/>
      <c r="F57" s="22">
        <v>14</v>
      </c>
      <c r="G57" s="22">
        <v>10</v>
      </c>
      <c r="H57" s="22">
        <v>6</v>
      </c>
      <c r="I57" s="22">
        <v>0</v>
      </c>
      <c r="J57" s="3"/>
      <c r="K57" s="3"/>
      <c r="L57" s="3"/>
      <c r="M57" s="3"/>
      <c r="N57" s="22">
        <v>1998</v>
      </c>
      <c r="O57" s="3"/>
      <c r="P57" s="22">
        <v>121.41</v>
      </c>
      <c r="Q57" s="22">
        <v>7</v>
      </c>
      <c r="R57" s="22">
        <v>0</v>
      </c>
      <c r="S57" s="3"/>
    </row>
    <row r="58" spans="1:19" ht="15" customHeight="1" x14ac:dyDescent="0.2">
      <c r="A58" s="3"/>
      <c r="B58" s="3"/>
      <c r="C58" s="3"/>
      <c r="D58" s="22">
        <v>1999</v>
      </c>
      <c r="E58" s="3"/>
      <c r="F58" s="22">
        <v>15</v>
      </c>
      <c r="G58" s="22">
        <v>9</v>
      </c>
      <c r="H58" s="22">
        <v>5</v>
      </c>
      <c r="I58" s="22">
        <v>0</v>
      </c>
      <c r="J58" s="3"/>
      <c r="K58" s="3"/>
      <c r="L58" s="3"/>
      <c r="M58" s="3"/>
      <c r="N58" s="22">
        <v>1999</v>
      </c>
      <c r="O58" s="3"/>
      <c r="P58" s="22">
        <v>82.05</v>
      </c>
      <c r="Q58" s="22">
        <v>10</v>
      </c>
      <c r="R58" s="22">
        <v>0</v>
      </c>
      <c r="S58" s="3"/>
    </row>
    <row r="59" spans="1:19" ht="15" customHeight="1" x14ac:dyDescent="0.2">
      <c r="A59" s="3"/>
      <c r="B59" s="3"/>
      <c r="C59" s="22">
        <v>2000</v>
      </c>
      <c r="D59" s="22">
        <v>2000</v>
      </c>
      <c r="E59" s="3"/>
      <c r="F59" s="22">
        <v>14</v>
      </c>
      <c r="G59" s="22">
        <v>10</v>
      </c>
      <c r="H59" s="22">
        <v>6</v>
      </c>
      <c r="I59" s="22">
        <v>0</v>
      </c>
      <c r="J59" s="22">
        <f>SUM(F59:F68)/10</f>
        <v>14.5</v>
      </c>
      <c r="K59" s="22">
        <f>SUM(G59:G68)/10</f>
        <v>10.3</v>
      </c>
      <c r="L59" s="22">
        <f>SUM(H59:H68)/10</f>
        <v>5.9</v>
      </c>
      <c r="M59" s="3"/>
      <c r="N59" s="22">
        <v>2000</v>
      </c>
      <c r="O59" s="3"/>
      <c r="P59" s="22">
        <v>52.81</v>
      </c>
      <c r="Q59" s="22">
        <v>13</v>
      </c>
      <c r="R59" s="22">
        <v>0</v>
      </c>
      <c r="S59" s="3"/>
    </row>
    <row r="60" spans="1:19" ht="15" customHeight="1" x14ac:dyDescent="0.2">
      <c r="A60" s="3"/>
      <c r="B60" s="3"/>
      <c r="C60" s="3"/>
      <c r="D60" s="22">
        <v>2001</v>
      </c>
      <c r="E60" s="3"/>
      <c r="F60" s="22">
        <v>16</v>
      </c>
      <c r="G60" s="22">
        <v>11</v>
      </c>
      <c r="H60" s="22">
        <v>7</v>
      </c>
      <c r="I60" s="22">
        <v>0</v>
      </c>
      <c r="J60" s="3"/>
      <c r="K60" s="3"/>
      <c r="L60" s="3"/>
      <c r="M60" s="3"/>
      <c r="N60" s="22">
        <v>2001</v>
      </c>
      <c r="O60" s="3"/>
      <c r="P60" s="22">
        <v>18.52</v>
      </c>
      <c r="Q60" s="22">
        <v>9</v>
      </c>
      <c r="R60" s="22">
        <v>0</v>
      </c>
      <c r="S60" s="3"/>
    </row>
    <row r="61" spans="1:19" ht="15" customHeight="1" x14ac:dyDescent="0.2">
      <c r="A61" s="3"/>
      <c r="B61" s="3"/>
      <c r="C61" s="3"/>
      <c r="D61" s="22">
        <v>2002</v>
      </c>
      <c r="E61" s="3"/>
      <c r="F61" s="22">
        <v>13</v>
      </c>
      <c r="G61" s="22">
        <v>9</v>
      </c>
      <c r="H61" s="22">
        <v>5</v>
      </c>
      <c r="I61" s="22">
        <v>0</v>
      </c>
      <c r="J61" s="3"/>
      <c r="K61" s="3"/>
      <c r="L61" s="3"/>
      <c r="M61" s="3"/>
      <c r="N61" s="22">
        <v>2002</v>
      </c>
      <c r="O61" s="3"/>
      <c r="P61" s="22">
        <v>111.51</v>
      </c>
      <c r="Q61" s="22">
        <v>11</v>
      </c>
      <c r="R61" s="22">
        <v>0</v>
      </c>
      <c r="S61" s="3"/>
    </row>
    <row r="62" spans="1:19" ht="15" customHeight="1" x14ac:dyDescent="0.2">
      <c r="A62" s="3"/>
      <c r="B62" s="3"/>
      <c r="C62" s="3"/>
      <c r="D62" s="22">
        <v>2003</v>
      </c>
      <c r="E62" s="3"/>
      <c r="F62" s="22">
        <v>14</v>
      </c>
      <c r="G62" s="22">
        <v>9</v>
      </c>
      <c r="H62" s="22">
        <v>5</v>
      </c>
      <c r="I62" s="22">
        <v>0</v>
      </c>
      <c r="J62" s="3"/>
      <c r="K62" s="3"/>
      <c r="L62" s="3"/>
      <c r="M62" s="3"/>
      <c r="N62" s="22">
        <v>2003</v>
      </c>
      <c r="O62" s="3"/>
      <c r="P62" s="22">
        <v>134.63</v>
      </c>
      <c r="Q62" s="22">
        <v>13</v>
      </c>
      <c r="R62" s="22">
        <v>0</v>
      </c>
      <c r="S62" s="3"/>
    </row>
    <row r="63" spans="1:19" ht="15" customHeight="1" x14ac:dyDescent="0.2">
      <c r="A63" s="3"/>
      <c r="B63" s="3"/>
      <c r="C63" s="3"/>
      <c r="D63" s="22">
        <v>2004</v>
      </c>
      <c r="E63" s="3"/>
      <c r="F63" s="22">
        <v>14</v>
      </c>
      <c r="G63" s="22">
        <v>10</v>
      </c>
      <c r="H63" s="22">
        <v>6</v>
      </c>
      <c r="I63" s="22">
        <v>0</v>
      </c>
      <c r="J63" s="3"/>
      <c r="K63" s="3"/>
      <c r="L63" s="3"/>
      <c r="M63" s="3"/>
      <c r="N63" s="22">
        <v>2004</v>
      </c>
      <c r="O63" s="3"/>
      <c r="P63" s="22">
        <v>57.65</v>
      </c>
      <c r="Q63" s="22">
        <v>9</v>
      </c>
      <c r="R63" s="22">
        <v>0</v>
      </c>
      <c r="S63" s="3"/>
    </row>
    <row r="64" spans="1:19" ht="15" customHeight="1" x14ac:dyDescent="0.2">
      <c r="A64" s="3"/>
      <c r="B64" s="3"/>
      <c r="C64" s="3"/>
      <c r="D64" s="22">
        <v>2005</v>
      </c>
      <c r="E64" s="3"/>
      <c r="F64" s="22">
        <v>14</v>
      </c>
      <c r="G64" s="22">
        <v>11</v>
      </c>
      <c r="H64" s="22">
        <v>7</v>
      </c>
      <c r="I64" s="22">
        <v>0</v>
      </c>
      <c r="J64" s="3"/>
      <c r="K64" s="3"/>
      <c r="L64" s="3"/>
      <c r="M64" s="3"/>
      <c r="N64" s="22">
        <v>2005</v>
      </c>
      <c r="O64" s="3"/>
      <c r="P64" s="22">
        <v>395.21</v>
      </c>
      <c r="Q64" s="22">
        <v>16</v>
      </c>
      <c r="R64" s="22">
        <v>2</v>
      </c>
      <c r="S64" s="3"/>
    </row>
    <row r="65" spans="1:19" ht="15" customHeight="1" x14ac:dyDescent="0.2">
      <c r="A65" s="3"/>
      <c r="B65" s="3"/>
      <c r="C65" s="3"/>
      <c r="D65" s="22">
        <v>2006</v>
      </c>
      <c r="E65" s="3"/>
      <c r="F65" s="22">
        <v>15</v>
      </c>
      <c r="G65" s="22">
        <v>10</v>
      </c>
      <c r="H65" s="22">
        <v>5</v>
      </c>
      <c r="I65" s="22">
        <v>0</v>
      </c>
      <c r="J65" s="3"/>
      <c r="K65" s="3"/>
      <c r="L65" s="3"/>
      <c r="M65" s="3"/>
      <c r="N65" s="22">
        <v>2006</v>
      </c>
      <c r="O65" s="3"/>
      <c r="P65" s="22">
        <v>175.5</v>
      </c>
      <c r="Q65" s="22">
        <v>11</v>
      </c>
      <c r="R65" s="22">
        <v>0</v>
      </c>
      <c r="S65" s="3"/>
    </row>
    <row r="66" spans="1:19" ht="15" customHeight="1" x14ac:dyDescent="0.2">
      <c r="A66" s="3"/>
      <c r="B66" s="3"/>
      <c r="C66" s="3"/>
      <c r="D66" s="22">
        <v>2007</v>
      </c>
      <c r="E66" s="3"/>
      <c r="F66" s="22">
        <v>18</v>
      </c>
      <c r="G66" s="22">
        <v>14</v>
      </c>
      <c r="H66" s="22">
        <v>9</v>
      </c>
      <c r="I66" s="22">
        <v>0</v>
      </c>
      <c r="J66" s="3"/>
      <c r="K66" s="3"/>
      <c r="L66" s="3"/>
      <c r="M66" s="3"/>
      <c r="N66" s="22">
        <v>2007</v>
      </c>
      <c r="O66" s="3"/>
      <c r="P66" s="22">
        <v>79.260000000000005</v>
      </c>
      <c r="Q66" s="22">
        <v>12</v>
      </c>
      <c r="R66" s="22">
        <v>0</v>
      </c>
      <c r="S66" s="3"/>
    </row>
    <row r="67" spans="1:19" ht="15" customHeight="1" x14ac:dyDescent="0.2">
      <c r="A67" s="3"/>
      <c r="B67" s="3"/>
      <c r="C67" s="3"/>
      <c r="D67" s="22">
        <v>2008</v>
      </c>
      <c r="E67" s="3"/>
      <c r="F67" s="22">
        <v>14</v>
      </c>
      <c r="G67" s="22">
        <v>10</v>
      </c>
      <c r="H67" s="22">
        <v>5</v>
      </c>
      <c r="I67" s="22">
        <v>0</v>
      </c>
      <c r="J67" s="3"/>
      <c r="K67" s="3"/>
      <c r="L67" s="3"/>
      <c r="M67" s="3"/>
      <c r="N67" s="22">
        <v>2008</v>
      </c>
      <c r="O67" s="3"/>
      <c r="P67" s="22">
        <v>66.540000000000006</v>
      </c>
      <c r="Q67" s="22">
        <v>9</v>
      </c>
      <c r="R67" s="22">
        <v>0</v>
      </c>
      <c r="S67" s="3"/>
    </row>
    <row r="68" spans="1:19" ht="15" customHeight="1" x14ac:dyDescent="0.2">
      <c r="A68" s="3"/>
      <c r="B68" s="3"/>
      <c r="C68" s="3"/>
      <c r="D68" s="22">
        <v>2009</v>
      </c>
      <c r="E68" s="3"/>
      <c r="F68" s="22">
        <v>13</v>
      </c>
      <c r="G68" s="22">
        <v>9</v>
      </c>
      <c r="H68" s="22">
        <v>4</v>
      </c>
      <c r="I68" s="22">
        <v>0</v>
      </c>
      <c r="J68" s="3"/>
      <c r="K68" s="3"/>
      <c r="L68" s="3"/>
      <c r="M68" s="3"/>
      <c r="N68" s="22">
        <v>2009</v>
      </c>
      <c r="O68" s="3"/>
      <c r="P68" s="22">
        <v>127.49</v>
      </c>
      <c r="Q68" s="22">
        <v>14</v>
      </c>
      <c r="R68" s="22">
        <v>0</v>
      </c>
      <c r="S68" s="3"/>
    </row>
    <row r="69" spans="1:19" ht="15" customHeight="1" x14ac:dyDescent="0.2">
      <c r="A69" s="3"/>
      <c r="B69" s="3"/>
      <c r="C69" s="22">
        <v>2010</v>
      </c>
      <c r="D69" s="22">
        <v>2010</v>
      </c>
      <c r="E69" s="3"/>
      <c r="F69" s="22">
        <v>15</v>
      </c>
      <c r="G69" s="22">
        <v>10</v>
      </c>
      <c r="H69" s="22">
        <v>6</v>
      </c>
      <c r="I69" s="22">
        <v>0</v>
      </c>
      <c r="J69" s="22">
        <f>SUM(F69:F78)/8</f>
        <v>17</v>
      </c>
      <c r="K69" s="22">
        <f>SUM(G69:G78)/8</f>
        <v>12.5</v>
      </c>
      <c r="L69" s="22">
        <f>SUM(H69:H78)/8</f>
        <v>7.625</v>
      </c>
      <c r="M69" s="3"/>
      <c r="N69" s="22">
        <v>2010</v>
      </c>
      <c r="O69" s="3"/>
      <c r="P69" s="22">
        <v>157.74</v>
      </c>
      <c r="Q69" s="22">
        <v>13</v>
      </c>
      <c r="R69" s="22">
        <v>0</v>
      </c>
      <c r="S69" s="3"/>
    </row>
    <row r="70" spans="1:19" ht="15" customHeight="1" x14ac:dyDescent="0.2">
      <c r="A70" s="3"/>
      <c r="B70" s="3"/>
      <c r="C70" s="3"/>
      <c r="D70" s="22">
        <v>2011</v>
      </c>
      <c r="E70" s="3"/>
      <c r="F70" s="22">
        <v>14</v>
      </c>
      <c r="G70" s="22">
        <v>11</v>
      </c>
      <c r="H70" s="22">
        <v>7</v>
      </c>
      <c r="I70" s="22">
        <v>0</v>
      </c>
      <c r="J70" s="3"/>
      <c r="K70" s="3"/>
      <c r="L70" s="3"/>
      <c r="M70" s="3"/>
      <c r="N70" s="22">
        <v>2011</v>
      </c>
      <c r="O70" s="3"/>
      <c r="P70" s="22">
        <v>155.44</v>
      </c>
      <c r="Q70" s="22">
        <v>17</v>
      </c>
      <c r="R70" s="22">
        <v>0</v>
      </c>
      <c r="S70" s="3"/>
    </row>
    <row r="71" spans="1:19" ht="15" customHeight="1" x14ac:dyDescent="0.2">
      <c r="A71" s="3"/>
      <c r="B71" s="3"/>
      <c r="C71" s="3"/>
      <c r="D71" s="22">
        <v>2012</v>
      </c>
      <c r="E71" s="3"/>
      <c r="F71" s="22">
        <v>16</v>
      </c>
      <c r="G71" s="22">
        <v>12</v>
      </c>
      <c r="H71" s="22">
        <v>8</v>
      </c>
      <c r="I71" s="22">
        <v>0</v>
      </c>
      <c r="J71" s="3"/>
      <c r="K71" s="3"/>
      <c r="L71" s="3"/>
      <c r="M71" s="3"/>
      <c r="N71" s="22">
        <v>2012</v>
      </c>
      <c r="O71" s="3"/>
      <c r="P71" s="22">
        <v>105.67</v>
      </c>
      <c r="Q71" s="22">
        <v>14</v>
      </c>
      <c r="R71" s="22">
        <v>0</v>
      </c>
      <c r="S71" s="3"/>
    </row>
    <row r="72" spans="1:19" ht="15" customHeight="1" x14ac:dyDescent="0.2">
      <c r="A72" s="3"/>
      <c r="B72" s="3"/>
      <c r="C72" s="3"/>
      <c r="D72" s="22">
        <v>2013</v>
      </c>
      <c r="E72" s="3"/>
      <c r="F72" s="22">
        <v>15</v>
      </c>
      <c r="G72" s="22">
        <v>11</v>
      </c>
      <c r="H72" s="22">
        <v>7</v>
      </c>
      <c r="I72" s="22">
        <v>0</v>
      </c>
      <c r="J72" s="3"/>
      <c r="K72" s="3"/>
      <c r="L72" s="3"/>
      <c r="M72" s="3"/>
      <c r="N72" s="22">
        <v>2013</v>
      </c>
      <c r="O72" s="3"/>
      <c r="P72" s="22">
        <v>36.32</v>
      </c>
      <c r="Q72" s="22">
        <v>10</v>
      </c>
      <c r="R72" s="22">
        <v>0</v>
      </c>
      <c r="S72" s="3"/>
    </row>
    <row r="73" spans="1:19" ht="15" customHeight="1" x14ac:dyDescent="0.2">
      <c r="A73" s="3"/>
      <c r="B73" s="3"/>
      <c r="C73" s="3"/>
      <c r="D73" s="22">
        <v>2014</v>
      </c>
      <c r="E73" s="3"/>
      <c r="F73" s="22">
        <v>15</v>
      </c>
      <c r="G73" s="22">
        <v>11</v>
      </c>
      <c r="H73" s="22">
        <v>7</v>
      </c>
      <c r="I73" s="22">
        <v>0</v>
      </c>
      <c r="J73" s="3"/>
      <c r="K73" s="3"/>
      <c r="L73" s="3"/>
      <c r="M73" s="3"/>
      <c r="N73" s="22">
        <v>2014</v>
      </c>
      <c r="O73" s="3"/>
      <c r="P73" s="22">
        <v>161.79</v>
      </c>
      <c r="Q73" s="22">
        <v>11</v>
      </c>
      <c r="R73" s="22">
        <v>0</v>
      </c>
      <c r="S73" s="3"/>
    </row>
    <row r="74" spans="1:19" ht="15" customHeight="1" x14ac:dyDescent="0.2">
      <c r="A74" s="3"/>
      <c r="B74" s="3"/>
      <c r="C74" s="3"/>
      <c r="D74" s="22">
        <v>2015</v>
      </c>
      <c r="E74" s="3"/>
      <c r="F74" s="22">
        <v>14</v>
      </c>
      <c r="G74" s="22">
        <v>10</v>
      </c>
      <c r="H74" s="22">
        <v>5</v>
      </c>
      <c r="I74" s="22">
        <v>0</v>
      </c>
      <c r="J74" s="3"/>
      <c r="K74" s="3"/>
      <c r="L74" s="3"/>
      <c r="M74" s="3"/>
      <c r="N74" s="22">
        <v>2015</v>
      </c>
      <c r="O74" s="3"/>
      <c r="P74" s="22">
        <v>77.709999999999994</v>
      </c>
      <c r="Q74" s="22">
        <v>11</v>
      </c>
      <c r="R74" s="22">
        <v>0</v>
      </c>
      <c r="S74" s="3"/>
    </row>
    <row r="75" spans="1:19" ht="15" customHeight="1" x14ac:dyDescent="0.2">
      <c r="A75" s="3"/>
      <c r="B75" s="3"/>
      <c r="C75" s="3"/>
      <c r="D75" s="22">
        <v>2016</v>
      </c>
      <c r="E75" s="3"/>
      <c r="F75" s="22">
        <v>15</v>
      </c>
      <c r="G75" s="22">
        <v>11</v>
      </c>
      <c r="H75" s="22">
        <v>6</v>
      </c>
      <c r="I75" s="22">
        <v>0</v>
      </c>
      <c r="J75" s="3"/>
      <c r="K75" s="3"/>
      <c r="L75" s="3"/>
      <c r="M75" s="3"/>
      <c r="N75" s="22">
        <v>2016</v>
      </c>
      <c r="O75" s="3"/>
      <c r="P75" s="22">
        <v>166.88</v>
      </c>
      <c r="Q75" s="22">
        <v>11</v>
      </c>
      <c r="R75" s="22">
        <v>1</v>
      </c>
      <c r="S75" s="3"/>
    </row>
    <row r="76" spans="1:19" ht="15" customHeight="1" x14ac:dyDescent="0.2">
      <c r="A76" s="3"/>
      <c r="B76" s="3"/>
      <c r="C76" s="3"/>
      <c r="D76" s="22">
        <v>2017</v>
      </c>
      <c r="E76" s="3"/>
      <c r="F76" s="22">
        <v>19</v>
      </c>
      <c r="G76" s="22">
        <v>15</v>
      </c>
      <c r="H76" s="22">
        <v>10</v>
      </c>
      <c r="I76" s="22">
        <v>0</v>
      </c>
      <c r="J76" s="3"/>
      <c r="K76" s="3"/>
      <c r="L76" s="3"/>
      <c r="M76" s="3"/>
      <c r="N76" s="22">
        <v>2017</v>
      </c>
      <c r="O76" s="3"/>
      <c r="P76" s="22">
        <v>224.26</v>
      </c>
      <c r="Q76" s="22">
        <v>10</v>
      </c>
      <c r="R76" s="22">
        <v>0</v>
      </c>
      <c r="S76" s="3"/>
    </row>
    <row r="77" spans="1:19" ht="15" customHeight="1" x14ac:dyDescent="0.2">
      <c r="A77" s="3"/>
      <c r="B77" s="3"/>
      <c r="C77" s="3"/>
      <c r="D77" s="22">
        <v>2018</v>
      </c>
      <c r="E77" s="3"/>
      <c r="F77" s="22">
        <v>13</v>
      </c>
      <c r="G77" s="22">
        <v>9</v>
      </c>
      <c r="H77" s="22">
        <v>5</v>
      </c>
      <c r="I77" s="22">
        <v>0</v>
      </c>
      <c r="J77" s="3"/>
      <c r="K77" s="3"/>
      <c r="L77" s="3"/>
      <c r="M77" s="3"/>
      <c r="N77" s="22">
        <v>2018</v>
      </c>
      <c r="O77" s="3"/>
      <c r="P77" s="22">
        <v>113.01</v>
      </c>
      <c r="Q77" s="22">
        <v>16</v>
      </c>
      <c r="R77" s="22">
        <v>0</v>
      </c>
      <c r="S77" s="3"/>
    </row>
    <row r="78" spans="1:19" ht="1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19" ht="1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19" ht="1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9" ht="15" customHeight="1" x14ac:dyDescent="0.2">
      <c r="A81" s="3"/>
      <c r="B81" s="3"/>
      <c r="C81" s="3"/>
      <c r="D81" s="4" t="s">
        <v>25</v>
      </c>
      <c r="E81" s="3"/>
      <c r="F81" s="3"/>
      <c r="G81" s="3"/>
      <c r="H81" s="3"/>
      <c r="I81" s="3"/>
      <c r="J81" s="3"/>
      <c r="K81" s="3"/>
      <c r="L81" s="3"/>
      <c r="M81" s="3"/>
      <c r="N81" s="4" t="s">
        <v>25</v>
      </c>
      <c r="O81" s="3"/>
      <c r="P81" s="3"/>
      <c r="Q81" s="3"/>
      <c r="R81" s="3"/>
      <c r="S81" s="3"/>
    </row>
    <row r="82" spans="1:19" ht="1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1:19" ht="15" customHeight="1" x14ac:dyDescent="0.2">
      <c r="A83" s="3"/>
      <c r="B83" s="3"/>
      <c r="C83" s="3"/>
      <c r="D83" s="37" t="s">
        <v>26</v>
      </c>
      <c r="E83" s="3"/>
      <c r="F83" s="22">
        <f>COUNT(F9:F77)</f>
        <v>68</v>
      </c>
      <c r="G83" s="22">
        <f>COUNT(G9:G77)</f>
        <v>68</v>
      </c>
      <c r="H83" s="22">
        <f>COUNT(H9:H77)</f>
        <v>68</v>
      </c>
      <c r="I83" s="3"/>
      <c r="J83" s="3"/>
      <c r="K83" s="3"/>
      <c r="L83" s="3"/>
      <c r="M83" s="3"/>
      <c r="N83" s="37" t="s">
        <v>26</v>
      </c>
      <c r="O83" s="3"/>
      <c r="P83" s="22">
        <f>COUNT(P9:P77)</f>
        <v>61</v>
      </c>
      <c r="Q83" s="22">
        <f>COUNT(Q9:Q77)</f>
        <v>61</v>
      </c>
      <c r="R83" s="22">
        <f>COUNT(R9:R77)</f>
        <v>59</v>
      </c>
      <c r="S83" s="3"/>
    </row>
    <row r="84" spans="1:19" ht="15" customHeight="1" x14ac:dyDescent="0.2">
      <c r="A84" s="3"/>
      <c r="B84" s="3"/>
      <c r="C84" s="3"/>
      <c r="D84" s="37" t="s">
        <v>11</v>
      </c>
      <c r="E84" s="3"/>
      <c r="F84" s="38">
        <f>AVERAGE(F9:F77)</f>
        <v>14.720588235294118</v>
      </c>
      <c r="G84" s="38">
        <f>AVERAGE(G9:G77)</f>
        <v>10.279411764705882</v>
      </c>
      <c r="H84" s="38">
        <f>AVERAGE(H9:H77)</f>
        <v>5.8529411764705879</v>
      </c>
      <c r="I84" s="3"/>
      <c r="J84" s="3"/>
      <c r="K84" s="3"/>
      <c r="L84" s="3"/>
      <c r="M84" s="3"/>
      <c r="N84" s="37" t="s">
        <v>11</v>
      </c>
      <c r="O84" s="3"/>
      <c r="P84" s="38">
        <f>AVERAGE(P9:P77)</f>
        <v>122.90262295081969</v>
      </c>
      <c r="Q84" s="38">
        <f>AVERAGE(Q9:Q77)</f>
        <v>11.491803278688524</v>
      </c>
      <c r="R84" s="38">
        <f>AVERAGE(R9:R77)</f>
        <v>0.25423728813559321</v>
      </c>
      <c r="S84" s="3"/>
    </row>
    <row r="85" spans="1:19" ht="15" customHeight="1" x14ac:dyDescent="0.2">
      <c r="A85" s="3"/>
      <c r="B85" s="3"/>
      <c r="C85" s="3"/>
      <c r="D85" s="37" t="s">
        <v>27</v>
      </c>
      <c r="E85" s="3"/>
      <c r="F85" s="38">
        <f>STDEV(F9:F77)</f>
        <v>1.6007981986169695</v>
      </c>
      <c r="G85" s="38">
        <f>STDEV(G9:G77)</f>
        <v>1.6100949099242579</v>
      </c>
      <c r="H85" s="38">
        <f>STDEV(H9:H77)</f>
        <v>1.4889113109955661</v>
      </c>
      <c r="I85" s="3"/>
      <c r="J85" s="3"/>
      <c r="K85" s="3"/>
      <c r="L85" s="3"/>
      <c r="M85" s="3"/>
      <c r="N85" s="37" t="s">
        <v>27</v>
      </c>
      <c r="O85" s="3"/>
      <c r="P85" s="38">
        <f>STDEV(P9:P77)</f>
        <v>110.54660489135547</v>
      </c>
      <c r="Q85" s="38">
        <f>STDEV(Q9:Q77)</f>
        <v>4.1738189979109537</v>
      </c>
      <c r="R85" s="38">
        <f>STDEV(R9:R77)</f>
        <v>0.68463985848546804</v>
      </c>
      <c r="S85" s="3"/>
    </row>
  </sheetData>
  <hyperlinks>
    <hyperlink ref="B2" r:id="rId1" xr:uid="{00000000-0004-0000-0300-000000000000}"/>
  </hyperlinks>
  <pageMargins left="0.7" right="0.7" top="0.75" bottom="0.75" header="0.3" footer="0.3"/>
  <pageSetup orientation="portrait"/>
  <headerFooter>
    <oddFooter>&amp;C&amp;"Helvetica Neue,Regular"&amp;12&amp;K000000&amp;P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10"/>
  <sheetViews>
    <sheetView showGridLines="0" workbookViewId="0"/>
  </sheetViews>
  <sheetFormatPr baseColWidth="10" defaultColWidth="10" defaultRowHeight="13" customHeight="1" x14ac:dyDescent="0.2"/>
  <cols>
    <col min="1" max="256" width="10" style="46" customWidth="1"/>
  </cols>
  <sheetData>
    <row r="1" spans="1:5" ht="13" customHeight="1" x14ac:dyDescent="0.2">
      <c r="A1" s="47"/>
      <c r="B1" s="48"/>
      <c r="C1" s="48"/>
      <c r="D1" s="48"/>
      <c r="E1" s="49"/>
    </row>
    <row r="2" spans="1:5" ht="13" customHeight="1" x14ac:dyDescent="0.2">
      <c r="A2" s="50"/>
      <c r="B2" s="51"/>
      <c r="C2" s="51"/>
      <c r="D2" s="51"/>
      <c r="E2" s="52"/>
    </row>
    <row r="3" spans="1:5" ht="13" customHeight="1" x14ac:dyDescent="0.2">
      <c r="A3" s="50"/>
      <c r="B3" s="51"/>
      <c r="C3" s="51"/>
      <c r="D3" s="51"/>
      <c r="E3" s="52"/>
    </row>
    <row r="4" spans="1:5" ht="13" customHeight="1" x14ac:dyDescent="0.2">
      <c r="A4" s="50"/>
      <c r="B4" s="51"/>
      <c r="C4" s="51"/>
      <c r="D4" s="51"/>
      <c r="E4" s="52"/>
    </row>
    <row r="5" spans="1:5" ht="13" customHeight="1" x14ac:dyDescent="0.2">
      <c r="A5" s="50"/>
      <c r="B5" s="51"/>
      <c r="C5" s="51"/>
      <c r="D5" s="51"/>
      <c r="E5" s="52"/>
    </row>
    <row r="6" spans="1:5" ht="13" customHeight="1" x14ac:dyDescent="0.2">
      <c r="A6" s="50"/>
      <c r="B6" s="51"/>
      <c r="C6" s="51"/>
      <c r="D6" s="51"/>
      <c r="E6" s="52"/>
    </row>
    <row r="7" spans="1:5" ht="13" customHeight="1" x14ac:dyDescent="0.2">
      <c r="A7" s="50"/>
      <c r="B7" s="51"/>
      <c r="C7" s="51"/>
      <c r="D7" s="51"/>
      <c r="E7" s="52"/>
    </row>
    <row r="8" spans="1:5" ht="13" customHeight="1" x14ac:dyDescent="0.2">
      <c r="A8" s="50"/>
      <c r="B8" s="51"/>
      <c r="C8" s="51"/>
      <c r="D8" s="51"/>
      <c r="E8" s="52"/>
    </row>
    <row r="9" spans="1:5" ht="13" customHeight="1" x14ac:dyDescent="0.2">
      <c r="A9" s="50"/>
      <c r="B9" s="51"/>
      <c r="C9" s="51"/>
      <c r="D9" s="51"/>
      <c r="E9" s="52"/>
    </row>
    <row r="10" spans="1:5" ht="13" customHeight="1" x14ac:dyDescent="0.2">
      <c r="A10" s="53"/>
      <c r="B10" s="54"/>
      <c r="C10" s="54"/>
      <c r="D10" s="54"/>
      <c r="E10" s="55"/>
    </row>
  </sheetData>
  <pageMargins left="1" right="1" top="1" bottom="1" header="0.25" footer="0.25"/>
  <pageSetup orientation="portrait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January</vt:lpstr>
      <vt:lpstr>April</vt:lpstr>
      <vt:lpstr>July</vt:lpstr>
      <vt:lpstr>October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Emanuel Eagle</cp:lastModifiedBy>
  <dcterms:created xsi:type="dcterms:W3CDTF">2020-05-02T01:12:40Z</dcterms:created>
  <dcterms:modified xsi:type="dcterms:W3CDTF">2020-05-02T01:12:40Z</dcterms:modified>
</cp:coreProperties>
</file>